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Market price mid-2025</t>
      </text>
    </comment>
    <comment ref="B8" authorId="0" shapeId="0">
      <text>
        <t>Diluted shares estimate</t>
      </text>
    </comment>
    <comment ref="B10" authorId="0" shapeId="0">
      <text>
        <t>Net debt position</t>
      </text>
    </comment>
    <comment ref="B47" authorId="0" shapeId="0">
      <text>
        <t>10Y Treasury</t>
      </text>
    </comment>
    <comment ref="B48" authorId="0" shapeId="0">
      <text>
        <t>Market ERP</t>
      </text>
    </comment>
    <comment ref="B49" authorId="0" shapeId="0">
      <text>
        <t>5Y monthly - high volatility</t>
      </text>
    </comment>
    <comment ref="B50" authorId="0" shapeId="0">
      <text>
        <t>Below investment grade</t>
      </text>
    </comment>
    <comment ref="B51" authorId="0" shapeId="0">
      <text>
        <t>Effective tax</t>
      </text>
    </comment>
    <comment ref="B59" authorId="0" shapeId="0">
      <text>
        <t>~$97B LTM revenue estimate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 Treasury</t>
      </text>
    </comment>
    <comment ref="B5" authorId="0" shapeId="0">
      <text>
        <t>Market ERP</t>
      </text>
    </comment>
    <comment ref="B6" authorId="0" shapeId="0">
      <text>
        <t>5Y monthly - high volatility</t>
      </text>
    </comment>
    <comment ref="B10" authorId="0" shapeId="0">
      <text>
        <t>Below investment grade</t>
      </text>
    </comment>
    <comment ref="B11" authorId="0" shapeId="0">
      <text>
        <t>Effective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TESLA INC. (TSLA)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TSLA | Date: 2026-05-10 | Year End: December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180</v>
      </c>
    </row>
    <row r="8">
      <c r="A8" s="4" t="inlineStr">
        <is>
          <t>Shares Outstanding (M)</t>
        </is>
      </c>
      <c r="B8" s="7" t="n">
        <v>3200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15000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0.08</v>
      </c>
      <c r="C15" s="7" t="n">
        <v>0.07000000000000001</v>
      </c>
      <c r="D15" s="7" t="n">
        <v>0.06</v>
      </c>
      <c r="E15" s="7" t="n">
        <v>0.05</v>
      </c>
      <c r="F15" s="7" t="n">
        <v>0.04</v>
      </c>
    </row>
    <row r="16">
      <c r="A16" s="4" t="inlineStr">
        <is>
          <t>EBIT Margin (%)</t>
        </is>
      </c>
      <c r="B16" s="7" t="n">
        <v>0.12</v>
      </c>
      <c r="C16" s="7" t="n">
        <v>0.11</v>
      </c>
      <c r="D16" s="7" t="n">
        <v>0.1</v>
      </c>
      <c r="E16" s="7" t="n">
        <v>0.1</v>
      </c>
      <c r="F16" s="7" t="n">
        <v>0.09</v>
      </c>
    </row>
    <row r="17">
      <c r="A17" s="4" t="inlineStr">
        <is>
          <t>Tax Rate (%)</t>
        </is>
      </c>
      <c r="B17" s="7" t="n">
        <v>0.21</v>
      </c>
      <c r="C17" s="7" t="n">
        <v>0.21</v>
      </c>
      <c r="D17" s="7" t="n">
        <v>0.21</v>
      </c>
      <c r="E17" s="7" t="n">
        <v>0.21</v>
      </c>
      <c r="F17" s="7" t="n">
        <v>0.21</v>
      </c>
    </row>
    <row r="18">
      <c r="A18" s="4" t="inlineStr">
        <is>
          <t>D&amp;A % Rev</t>
        </is>
      </c>
      <c r="B18" s="7" t="n">
        <v>0.05</v>
      </c>
      <c r="C18" s="7" t="n">
        <v>0.05</v>
      </c>
      <c r="D18" s="7" t="n">
        <v>0.05</v>
      </c>
      <c r="E18" s="7" t="n">
        <v>0.05</v>
      </c>
      <c r="F18" s="7" t="n">
        <v>0.05</v>
      </c>
    </row>
    <row r="19">
      <c r="A19" s="4" t="inlineStr">
        <is>
          <t>CapEx % Rev</t>
        </is>
      </c>
      <c r="B19" s="7" t="n">
        <v>0.06</v>
      </c>
      <c r="C19" s="7" t="n">
        <v>0.06</v>
      </c>
      <c r="D19" s="7" t="n">
        <v>0.06</v>
      </c>
      <c r="E19" s="7" t="n">
        <v>0.06</v>
      </c>
      <c r="F19" s="7" t="n">
        <v>0.06</v>
      </c>
    </row>
    <row r="20">
      <c r="A20" s="4" t="inlineStr">
        <is>
          <t>NWC % ΔRev</t>
        </is>
      </c>
      <c r="B20" s="7" t="n">
        <v>-0.02</v>
      </c>
      <c r="C20" s="7" t="n">
        <v>-0.02</v>
      </c>
      <c r="D20" s="7" t="n">
        <v>-0.02</v>
      </c>
      <c r="E20" s="7" t="n">
        <v>-0.02</v>
      </c>
      <c r="F20" s="7" t="n">
        <v>-0.02</v>
      </c>
    </row>
    <row r="21">
      <c r="A21" s="4" t="inlineStr">
        <is>
          <t>Terminal g (%)</t>
        </is>
      </c>
      <c r="B21" s="7" t="n">
        <v>0.022</v>
      </c>
      <c r="C21" s="4" t="n"/>
      <c r="D21" s="4" t="n"/>
      <c r="E21" s="4" t="n"/>
      <c r="F21" s="4" t="n"/>
    </row>
    <row r="24">
      <c r="A24" s="8" t="inlineStr">
        <is>
          <t>BASE CASE ASSUMPTIONS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6" t="inlineStr">
        <is>
          <t>Assumption</t>
        </is>
      </c>
      <c r="B25" s="6" t="inlineStr">
        <is>
          <t>FY2025E</t>
        </is>
      </c>
      <c r="C25" s="6" t="inlineStr">
        <is>
          <t>FY2026E</t>
        </is>
      </c>
      <c r="D25" s="6" t="inlineStr">
        <is>
          <t>FY2027E</t>
        </is>
      </c>
      <c r="E25" s="6" t="inlineStr">
        <is>
          <t>FY2028E</t>
        </is>
      </c>
      <c r="F25" s="6" t="inlineStr">
        <is>
          <t>FY2029E</t>
        </is>
      </c>
    </row>
    <row r="26">
      <c r="A26" s="4" t="inlineStr">
        <is>
          <t>Rev Growth (%)</t>
        </is>
      </c>
      <c r="B26" s="7" t="n">
        <v>0.14</v>
      </c>
      <c r="C26" s="7" t="n">
        <v>0.12</v>
      </c>
      <c r="D26" s="7" t="n">
        <v>0.1</v>
      </c>
      <c r="E26" s="7" t="n">
        <v>0.09</v>
      </c>
      <c r="F26" s="7" t="n">
        <v>0.08</v>
      </c>
    </row>
    <row r="27">
      <c r="A27" s="4" t="inlineStr">
        <is>
          <t>EBIT Margin (%)</t>
        </is>
      </c>
      <c r="B27" s="7" t="n">
        <v>0.15</v>
      </c>
      <c r="C27" s="7" t="n">
        <v>0.15</v>
      </c>
      <c r="D27" s="7" t="n">
        <v>0.16</v>
      </c>
      <c r="E27" s="7" t="n">
        <v>0.16</v>
      </c>
      <c r="F27" s="7" t="n">
        <v>0.17</v>
      </c>
    </row>
    <row r="28">
      <c r="A28" s="4" t="inlineStr">
        <is>
          <t>Tax Rate (%)</t>
        </is>
      </c>
      <c r="B28" s="7" t="n">
        <v>0.21</v>
      </c>
      <c r="C28" s="7" t="n">
        <v>0.21</v>
      </c>
      <c r="D28" s="7" t="n">
        <v>0.21</v>
      </c>
      <c r="E28" s="7" t="n">
        <v>0.21</v>
      </c>
      <c r="F28" s="7" t="n">
        <v>0.21</v>
      </c>
    </row>
    <row r="29">
      <c r="A29" s="4" t="inlineStr">
        <is>
          <t>D&amp;A % Rev</t>
        </is>
      </c>
      <c r="B29" s="7" t="n">
        <v>0.05</v>
      </c>
      <c r="C29" s="7" t="n">
        <v>0.05</v>
      </c>
      <c r="D29" s="7" t="n">
        <v>0.05</v>
      </c>
      <c r="E29" s="7" t="n">
        <v>0.05</v>
      </c>
      <c r="F29" s="7" t="n">
        <v>0.05</v>
      </c>
    </row>
    <row r="30">
      <c r="A30" s="4" t="inlineStr">
        <is>
          <t>CapEx % Rev</t>
        </is>
      </c>
      <c r="B30" s="7" t="n">
        <v>0.06</v>
      </c>
      <c r="C30" s="7" t="n">
        <v>0.06</v>
      </c>
      <c r="D30" s="7" t="n">
        <v>0.06</v>
      </c>
      <c r="E30" s="7" t="n">
        <v>0.06</v>
      </c>
      <c r="F30" s="7" t="n">
        <v>0.06</v>
      </c>
    </row>
    <row r="31">
      <c r="A31" s="4" t="inlineStr">
        <is>
          <t>NWC % ΔRev</t>
        </is>
      </c>
      <c r="B31" s="7" t="n">
        <v>-0.02</v>
      </c>
      <c r="C31" s="7" t="n">
        <v>-0.02</v>
      </c>
      <c r="D31" s="7" t="n">
        <v>-0.02</v>
      </c>
      <c r="E31" s="7" t="n">
        <v>-0.02</v>
      </c>
      <c r="F31" s="7" t="n">
        <v>-0.02</v>
      </c>
    </row>
    <row r="32">
      <c r="A32" s="4" t="inlineStr">
        <is>
          <t>Terminal g (%)</t>
        </is>
      </c>
      <c r="B32" s="7" t="n">
        <v>0.025</v>
      </c>
      <c r="C32" s="4" t="n"/>
      <c r="D32" s="4" t="n"/>
      <c r="E32" s="4" t="n"/>
      <c r="F32" s="4" t="n"/>
    </row>
    <row r="35">
      <c r="A35" s="10" t="inlineStr">
        <is>
          <t>BULL CASE ASSUMPTIONS</t>
        </is>
      </c>
      <c r="B35" s="2" t="n"/>
      <c r="C35" s="2" t="n"/>
      <c r="D35" s="2" t="n"/>
      <c r="E35" s="2" t="n"/>
      <c r="F35" s="2" t="n"/>
      <c r="G35" s="2" t="n"/>
      <c r="H35" s="3" t="n"/>
    </row>
    <row r="36">
      <c r="A36" s="6" t="inlineStr">
        <is>
          <t>Assumption</t>
        </is>
      </c>
      <c r="B36" s="6" t="inlineStr">
        <is>
          <t>FY2025E</t>
        </is>
      </c>
      <c r="C36" s="6" t="inlineStr">
        <is>
          <t>FY2026E</t>
        </is>
      </c>
      <c r="D36" s="6" t="inlineStr">
        <is>
          <t>FY2027E</t>
        </is>
      </c>
      <c r="E36" s="6" t="inlineStr">
        <is>
          <t>FY2028E</t>
        </is>
      </c>
      <c r="F36" s="6" t="inlineStr">
        <is>
          <t>FY2029E</t>
        </is>
      </c>
    </row>
    <row r="37">
      <c r="A37" s="4" t="inlineStr">
        <is>
          <t>Rev Growth (%)</t>
        </is>
      </c>
      <c r="B37" s="7" t="n">
        <v>0.22</v>
      </c>
      <c r="C37" s="7" t="n">
        <v>0.2</v>
      </c>
      <c r="D37" s="7" t="n">
        <v>0.18</v>
      </c>
      <c r="E37" s="7" t="n">
        <v>0.15</v>
      </c>
      <c r="F37" s="7" t="n">
        <v>0.13</v>
      </c>
    </row>
    <row r="38">
      <c r="A38" s="4" t="inlineStr">
        <is>
          <t>EBIT Margin (%)</t>
        </is>
      </c>
      <c r="B38" s="7" t="n">
        <v>0.19</v>
      </c>
      <c r="C38" s="7" t="n">
        <v>0.2</v>
      </c>
      <c r="D38" s="7" t="n">
        <v>0.21</v>
      </c>
      <c r="E38" s="7" t="n">
        <v>0.22</v>
      </c>
      <c r="F38" s="7" t="n">
        <v>0.23</v>
      </c>
    </row>
    <row r="39">
      <c r="A39" s="4" t="inlineStr">
        <is>
          <t>Tax Rate (%)</t>
        </is>
      </c>
      <c r="B39" s="7" t="n">
        <v>0.22</v>
      </c>
      <c r="C39" s="7" t="n">
        <v>0.22</v>
      </c>
      <c r="D39" s="7" t="n">
        <v>0.22</v>
      </c>
      <c r="E39" s="7" t="n">
        <v>0.22</v>
      </c>
      <c r="F39" s="7" t="n">
        <v>0.22</v>
      </c>
    </row>
    <row r="40">
      <c r="A40" s="4" t="inlineStr">
        <is>
          <t>D&amp;A % Rev</t>
        </is>
      </c>
      <c r="B40" s="7" t="n">
        <v>0.05</v>
      </c>
      <c r="C40" s="7" t="n">
        <v>0.05</v>
      </c>
      <c r="D40" s="7" t="n">
        <v>0.05</v>
      </c>
      <c r="E40" s="7" t="n">
        <v>0.05</v>
      </c>
      <c r="F40" s="7" t="n">
        <v>0.05</v>
      </c>
    </row>
    <row r="41">
      <c r="A41" s="4" t="inlineStr">
        <is>
          <t>CapEx % Rev</t>
        </is>
      </c>
      <c r="B41" s="7" t="n">
        <v>0.07000000000000001</v>
      </c>
      <c r="C41" s="7" t="n">
        <v>0.07000000000000001</v>
      </c>
      <c r="D41" s="7" t="n">
        <v>0.07000000000000001</v>
      </c>
      <c r="E41" s="7" t="n">
        <v>0.07000000000000001</v>
      </c>
      <c r="F41" s="7" t="n">
        <v>0.07000000000000001</v>
      </c>
    </row>
    <row r="42">
      <c r="A42" s="4" t="inlineStr">
        <is>
          <t>NWC % ΔRev</t>
        </is>
      </c>
      <c r="B42" s="7" t="n">
        <v>-0.03</v>
      </c>
      <c r="C42" s="7" t="n">
        <v>-0.03</v>
      </c>
      <c r="D42" s="7" t="n">
        <v>-0.03</v>
      </c>
      <c r="E42" s="7" t="n">
        <v>-0.03</v>
      </c>
      <c r="F42" s="7" t="n">
        <v>-0.03</v>
      </c>
    </row>
    <row r="43">
      <c r="A43" s="4" t="inlineStr">
        <is>
          <t>Terminal g (%)</t>
        </is>
      </c>
      <c r="B43" s="7" t="n">
        <v>0.03</v>
      </c>
      <c r="C43" s="4" t="n"/>
      <c r="D43" s="4" t="n"/>
      <c r="E43" s="4" t="n"/>
      <c r="F43" s="4" t="n"/>
    </row>
    <row r="46">
      <c r="A46" s="8" t="inlineStr">
        <is>
          <t>WACC ASSUMPTIONS</t>
        </is>
      </c>
      <c r="B46" s="2" t="n"/>
      <c r="C46" s="2" t="n"/>
      <c r="D46" s="2" t="n"/>
      <c r="E46" s="2" t="n"/>
      <c r="F46" s="2" t="n"/>
      <c r="G46" s="2" t="n"/>
      <c r="H46" s="3" t="n"/>
    </row>
    <row r="47">
      <c r="A47" s="4" t="inlineStr">
        <is>
          <t>Risk-Free Rate (%)</t>
        </is>
      </c>
      <c r="B47" s="7" t="n">
        <v>0.043</v>
      </c>
    </row>
    <row r="48">
      <c r="A48" s="4" t="inlineStr">
        <is>
          <t>Equity Risk Premium (%)</t>
        </is>
      </c>
      <c r="B48" s="7" t="n">
        <v>0.055</v>
      </c>
    </row>
    <row r="49">
      <c r="A49" s="4" t="inlineStr">
        <is>
          <t>Beta</t>
        </is>
      </c>
      <c r="B49" s="7" t="n">
        <v>2.2</v>
      </c>
    </row>
    <row r="50">
      <c r="A50" s="4" t="inlineStr">
        <is>
          <t>Pre-Tax Cost of Debt (%)</t>
        </is>
      </c>
      <c r="B50" s="7" t="n">
        <v>0.055</v>
      </c>
    </row>
    <row r="51">
      <c r="A51" s="4" t="inlineStr">
        <is>
          <t>Tax Rate (%)</t>
        </is>
      </c>
      <c r="B51" s="7" t="n">
        <v>0.21</v>
      </c>
    </row>
    <row r="53">
      <c r="A53" s="4" t="inlineStr">
        <is>
          <t>Cost of Equity (%)</t>
        </is>
      </c>
      <c r="B53" s="4">
        <f>B47+B48*B49</f>
        <v/>
      </c>
    </row>
    <row r="54">
      <c r="A54" s="4" t="inlineStr">
        <is>
          <t>After-Tax Cost of Debt (%)</t>
        </is>
      </c>
      <c r="B54" s="4">
        <f>B50*(1-B51)</f>
        <v/>
      </c>
    </row>
    <row r="55">
      <c r="A55" s="6" t="inlineStr">
        <is>
          <t>WACC (%)</t>
        </is>
      </c>
      <c r="B55" s="4">
        <f>(B53*B9/B11)+(B54*B10/B11)</f>
        <v/>
      </c>
    </row>
    <row r="58">
      <c r="A58" s="8" t="inlineStr">
        <is>
          <t>REVENUE PROJECTIONS ($M)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4" t="inlineStr">
        <is>
          <t>LTM Revenue</t>
        </is>
      </c>
      <c r="B59" s="7" t="n">
        <v>97000</v>
      </c>
      <c r="C59" s="6" t="inlineStr">
        <is>
          <t>FY2025E</t>
        </is>
      </c>
      <c r="D59" s="6" t="inlineStr">
        <is>
          <t>FY2026E</t>
        </is>
      </c>
      <c r="E59" s="6" t="inlineStr">
        <is>
          <t>FY2027E</t>
        </is>
      </c>
      <c r="F59" s="6" t="inlineStr">
        <is>
          <t>FY2028E</t>
        </is>
      </c>
      <c r="G59" s="6" t="inlineStr">
        <is>
          <t>FY2029E</t>
        </is>
      </c>
    </row>
    <row r="60">
      <c r="C60" s="4">
        <f>B59*(1+IF($B$4=1,$C$15,IF($B$4=2,$C$26,$C$37)))</f>
        <v/>
      </c>
      <c r="D60" s="4">
        <f>C59*(1+IF($B$4=1,$D$15,IF($B$4=2,$D$26,$D$37)))</f>
        <v/>
      </c>
      <c r="E60" s="4">
        <f>D59*(1+IF($B$4=1,$E$15,IF($B$4=2,$E$26,$E$37)))</f>
        <v/>
      </c>
      <c r="F60" s="4">
        <f>E59*(1+IF($B$4=1,$F$15,IF($B$4=2,$F$26,$F$37)))</f>
        <v/>
      </c>
      <c r="G60" s="4">
        <f>F59*(1+IF($B$4=1,$G$15,IF($B$4=2,$G$26,$G$37)))</f>
        <v/>
      </c>
    </row>
    <row r="62">
      <c r="A62" s="8" t="inlineStr">
        <is>
          <t>EBIT MARGIN</t>
        </is>
      </c>
      <c r="B62" s="2" t="n"/>
      <c r="C62" s="2" t="n"/>
      <c r="D62" s="2" t="n"/>
      <c r="E62" s="2" t="n"/>
      <c r="F62" s="2" t="n"/>
      <c r="G62" s="2" t="n"/>
      <c r="H62" s="3" t="n"/>
    </row>
    <row r="63">
      <c r="C63" s="6" t="inlineStr">
        <is>
          <t>FY2025E</t>
        </is>
      </c>
      <c r="D63" s="6" t="inlineStr">
        <is>
          <t>FY2026E</t>
        </is>
      </c>
      <c r="E63" s="6" t="inlineStr">
        <is>
          <t>FY2027E</t>
        </is>
      </c>
      <c r="F63" s="6" t="inlineStr">
        <is>
          <t>FY2028E</t>
        </is>
      </c>
      <c r="G63" s="6" t="inlineStr">
        <is>
          <t>FY2029E</t>
        </is>
      </c>
    </row>
    <row r="64">
      <c r="C64" s="11">
        <f>IF($B$4=1,$C$16,IF($B$4=2,$C$27,$C$38))</f>
        <v/>
      </c>
      <c r="D64" s="11">
        <f>IF($B$4=1,$D$16,IF($B$4=2,$D$27,$D$38))</f>
        <v/>
      </c>
      <c r="E64" s="11">
        <f>IF($B$4=1,$E$16,IF($B$4=2,$E$27,$E$38))</f>
        <v/>
      </c>
      <c r="F64" s="11">
        <f>IF($B$4=1,$F$16,IF($B$4=2,$F$27,$F$38))</f>
        <v/>
      </c>
      <c r="G64" s="11">
        <f>IF($B$4=1,$G$16,IF($B$4=2,$G$27,$G$38))</f>
        <v/>
      </c>
    </row>
    <row r="66">
      <c r="A66" s="4" t="inlineStr">
        <is>
          <t>EBIT ($M)</t>
        </is>
      </c>
      <c r="C66" s="4">
        <f>C60*C64</f>
        <v/>
      </c>
      <c r="D66" s="4">
        <f>D60*D64</f>
        <v/>
      </c>
      <c r="E66" s="4">
        <f>E60*E64</f>
        <v/>
      </c>
      <c r="F66" s="4">
        <f>F60*F64</f>
        <v/>
      </c>
      <c r="G66" s="4">
        <f>G60*G64</f>
        <v/>
      </c>
    </row>
    <row r="68">
      <c r="A68" s="4" t="inlineStr">
        <is>
          <t>Taxes</t>
        </is>
      </c>
      <c r="C68" s="4">
        <f>C66*IF($B$4=1,$C$17,IF($B$4=2,$C$28,$C$39))</f>
        <v/>
      </c>
      <c r="D68" s="4">
        <f>D66*IF($B$4=1,$D$17,IF($B$4=2,$D$28,$D$39))</f>
        <v/>
      </c>
      <c r="E68" s="4">
        <f>E66*IF($B$4=1,$E$17,IF($B$4=2,$E$28,$E$39))</f>
        <v/>
      </c>
      <c r="F68" s="4">
        <f>F66*IF($B$4=1,$F$17,IF($B$4=2,$F$28,$F$39))</f>
        <v/>
      </c>
      <c r="G68" s="4">
        <f>G66*IF($B$4=1,$G$17,IF($B$4=2,$G$28,$G$39))</f>
        <v/>
      </c>
    </row>
    <row r="70">
      <c r="A70" s="4" t="inlineStr">
        <is>
          <t>NOPAT ($M)</t>
        </is>
      </c>
      <c r="C70" s="4">
        <f>C66-C68</f>
        <v/>
      </c>
      <c r="D70" s="4">
        <f>D66-D68</f>
        <v/>
      </c>
      <c r="E70" s="4">
        <f>E66-E68</f>
        <v/>
      </c>
      <c r="F70" s="4">
        <f>F66-F68</f>
        <v/>
      </c>
      <c r="G70" s="4">
        <f>G66-G68</f>
        <v/>
      </c>
    </row>
    <row r="72">
      <c r="A72" s="4" t="inlineStr">
        <is>
          <t>D&amp;A % Rev</t>
        </is>
      </c>
      <c r="C72" s="11">
        <f>IF($B$4=1,$C$18,IF($B$4=2,$C$29,$C$40))</f>
        <v/>
      </c>
      <c r="D72" s="11">
        <f>IF($B$4=1,$D$18,IF($B$4=2,$D$29,$D$40))</f>
        <v/>
      </c>
      <c r="E72" s="11">
        <f>IF($B$4=1,$E$18,IF($B$4=2,$E$29,$E$40))</f>
        <v/>
      </c>
      <c r="F72" s="11">
        <f>IF($B$4=1,$F$18,IF($B$4=2,$F$29,$F$40))</f>
        <v/>
      </c>
      <c r="G72" s="11">
        <f>IF($B$4=1,$G$18,IF($B$4=2,$G$29,$G$40))</f>
        <v/>
      </c>
    </row>
    <row r="73">
      <c r="A73" s="4" t="inlineStr">
        <is>
          <t>D&amp;A ($M)</t>
        </is>
      </c>
      <c r="C73" s="4">
        <f>C60*C72</f>
        <v/>
      </c>
      <c r="D73" s="4">
        <f>D60*D72</f>
        <v/>
      </c>
      <c r="E73" s="4">
        <f>E60*E72</f>
        <v/>
      </c>
      <c r="F73" s="4">
        <f>F60*F72</f>
        <v/>
      </c>
      <c r="G73" s="4">
        <f>G60*G72</f>
        <v/>
      </c>
    </row>
    <row r="75">
      <c r="A75" s="4" t="inlineStr">
        <is>
          <t>CapEx % Rev</t>
        </is>
      </c>
      <c r="C75" s="11">
        <f>IF($B$4=1,$C$19,IF($B$4=2,$C$30,$C$41))</f>
        <v/>
      </c>
      <c r="D75" s="11">
        <f>IF($B$4=1,$D$19,IF($B$4=2,$D$30,$D$41))</f>
        <v/>
      </c>
      <c r="E75" s="11">
        <f>IF($B$4=1,$E$19,IF($B$4=2,$E$30,$E$41))</f>
        <v/>
      </c>
      <c r="F75" s="11">
        <f>IF($B$4=1,$F$19,IF($B$4=2,$F$30,$F$41))</f>
        <v/>
      </c>
      <c r="G75" s="11">
        <f>IF($B$4=1,$G$19,IF($B$4=2,$G$30,$G$41))</f>
        <v/>
      </c>
    </row>
    <row r="76">
      <c r="A76" s="4" t="inlineStr">
        <is>
          <t>CapEx ($M)</t>
        </is>
      </c>
      <c r="C76" s="4">
        <f>C60*C75</f>
        <v/>
      </c>
      <c r="D76" s="4">
        <f>D60*D75</f>
        <v/>
      </c>
      <c r="E76" s="4">
        <f>E60*E75</f>
        <v/>
      </c>
      <c r="F76" s="4">
        <f>F60*F75</f>
        <v/>
      </c>
      <c r="G76" s="4">
        <f>G60*G75</f>
        <v/>
      </c>
    </row>
    <row r="78">
      <c r="A78" s="4" t="inlineStr">
        <is>
          <t>NWC % ΔRev</t>
        </is>
      </c>
      <c r="C78" s="11">
        <f>IF($B$4=1,$C$20,IF($B$4=2,$C$31,$C$42))</f>
        <v/>
      </c>
      <c r="D78" s="11">
        <f>IF($B$4=1,$D$20,IF($B$4=2,$D$31,$D$42))</f>
        <v/>
      </c>
      <c r="E78" s="11">
        <f>IF($B$4=1,$E$20,IF($B$4=2,$E$31,$E$42))</f>
        <v/>
      </c>
      <c r="F78" s="11">
        <f>IF($B$4=1,$F$20,IF($B$4=2,$F$31,$F$42))</f>
        <v/>
      </c>
      <c r="G78" s="11">
        <f>IF($B$4=1,$G$20,IF($B$4=2,$G$31,$G$42))</f>
        <v/>
      </c>
    </row>
    <row r="79">
      <c r="A79" s="4" t="inlineStr">
        <is>
          <t>Δ NWC ($M)</t>
        </is>
      </c>
      <c r="C79" s="4">
        <f>(C60-B60)*C78</f>
        <v/>
      </c>
      <c r="D79" s="4">
        <f>(D60-C60)*D78</f>
        <v/>
      </c>
      <c r="E79" s="4">
        <f>(E60-D60)*E78</f>
        <v/>
      </c>
      <c r="F79" s="4">
        <f>(F60-E60)*F78</f>
        <v/>
      </c>
      <c r="G79" s="4">
        <f>(G60-F60)*G78</f>
        <v/>
      </c>
    </row>
    <row r="81">
      <c r="A81" s="8" t="inlineStr">
        <is>
          <t>FREE CASH FLOW</t>
        </is>
      </c>
      <c r="B81" s="2" t="n"/>
      <c r="C81" s="2" t="n"/>
      <c r="D81" s="2" t="n"/>
      <c r="E81" s="2" t="n"/>
      <c r="F81" s="2" t="n"/>
      <c r="G81" s="2" t="n"/>
      <c r="H81" s="3" t="n"/>
    </row>
    <row r="82">
      <c r="A82" s="4" t="inlineStr">
        <is>
          <t>NOPAT</t>
        </is>
      </c>
      <c r="C82" s="4">
        <f>C70</f>
        <v/>
      </c>
      <c r="D82" s="4">
        <f>D70</f>
        <v/>
      </c>
      <c r="E82" s="4">
        <f>E70</f>
        <v/>
      </c>
      <c r="F82" s="4">
        <f>F70</f>
        <v/>
      </c>
      <c r="G82" s="4">
        <f>G70</f>
        <v/>
      </c>
    </row>
    <row r="83">
      <c r="A83" s="4" t="inlineStr">
        <is>
          <t>(+) D&amp;A</t>
        </is>
      </c>
      <c r="C83" s="4">
        <f>C73</f>
        <v/>
      </c>
      <c r="D83" s="4">
        <f>D73</f>
        <v/>
      </c>
      <c r="E83" s="4">
        <f>E73</f>
        <v/>
      </c>
      <c r="F83" s="4">
        <f>F73</f>
        <v/>
      </c>
      <c r="G83" s="4">
        <f>G73</f>
        <v/>
      </c>
    </row>
    <row r="84">
      <c r="A84" s="4" t="inlineStr">
        <is>
          <t>(-) CapEx</t>
        </is>
      </c>
      <c r="C84" s="4">
        <f>-C76</f>
        <v/>
      </c>
      <c r="D84" s="4">
        <f>-D76</f>
        <v/>
      </c>
      <c r="E84" s="4">
        <f>-E76</f>
        <v/>
      </c>
      <c r="F84" s="4">
        <f>-F76</f>
        <v/>
      </c>
      <c r="G84" s="4">
        <f>-G76</f>
        <v/>
      </c>
    </row>
    <row r="85">
      <c r="A85" s="4" t="inlineStr">
        <is>
          <t>(-) Δ NWC</t>
        </is>
      </c>
      <c r="C85" s="4">
        <f>-C79</f>
        <v/>
      </c>
      <c r="D85" s="4">
        <f>-D79</f>
        <v/>
      </c>
      <c r="E85" s="4">
        <f>-E79</f>
        <v/>
      </c>
      <c r="F85" s="4">
        <f>-F79</f>
        <v/>
      </c>
      <c r="G85" s="4">
        <f>-G79</f>
        <v/>
      </c>
    </row>
    <row r="86">
      <c r="A86" s="12" t="inlineStr">
        <is>
          <t>Unlevered FCF ($M)</t>
        </is>
      </c>
      <c r="C86" s="12">
        <f>C82+C83+C84+C85</f>
        <v/>
      </c>
      <c r="D86" s="12">
        <f>D82+D83+D84+D85</f>
        <v/>
      </c>
      <c r="E86" s="12">
        <f>E82+E83+E84+E85</f>
        <v/>
      </c>
      <c r="F86" s="12">
        <f>F82+F83+F84+F85</f>
        <v/>
      </c>
      <c r="G86" s="12">
        <f>G82+G83+G84+G85</f>
        <v/>
      </c>
    </row>
    <row r="89">
      <c r="A89" s="8" t="inlineStr">
        <is>
          <t>DISCOUNTING &amp; VALUATION</t>
        </is>
      </c>
      <c r="B89" s="2" t="n"/>
      <c r="C89" s="2" t="n"/>
      <c r="D89" s="2" t="n"/>
      <c r="E89" s="2" t="n"/>
      <c r="F89" s="2" t="n"/>
      <c r="G89" s="2" t="n"/>
      <c r="H89" s="3" t="n"/>
    </row>
    <row r="90">
      <c r="A90" s="4" t="inlineStr">
        <is>
          <t>Period (Mid-Year)</t>
        </is>
      </c>
      <c r="C90" s="4" t="n">
        <v>0.5</v>
      </c>
      <c r="D90" s="4" t="n">
        <v>1.5</v>
      </c>
      <c r="E90" s="4" t="n">
        <v>2.5</v>
      </c>
      <c r="F90" s="4" t="n">
        <v>3.5</v>
      </c>
      <c r="G90" s="4" t="n">
        <v>4.5</v>
      </c>
    </row>
    <row r="91">
      <c r="A91" s="4" t="inlineStr">
        <is>
          <t>Discount Factor</t>
        </is>
      </c>
      <c r="C91" s="4">
        <f>1/(1+$B$55)^C90</f>
        <v/>
      </c>
      <c r="D91" s="4">
        <f>1/(1+$B$55)^D90</f>
        <v/>
      </c>
      <c r="E91" s="4">
        <f>1/(1+$B$55)^E90</f>
        <v/>
      </c>
      <c r="F91" s="4">
        <f>1/(1+$B$55)^F90</f>
        <v/>
      </c>
      <c r="G91" s="4">
        <f>1/(1+$B$55)^G90</f>
        <v/>
      </c>
    </row>
    <row r="92">
      <c r="A92" s="4" t="inlineStr">
        <is>
          <t>PV of FCF ($M)</t>
        </is>
      </c>
      <c r="C92" s="4">
        <f>C86*C91</f>
        <v/>
      </c>
      <c r="D92" s="4">
        <f>D86*D91</f>
        <v/>
      </c>
      <c r="E92" s="4">
        <f>E86*E91</f>
        <v/>
      </c>
      <c r="F92" s="4">
        <f>F86*F91</f>
        <v/>
      </c>
      <c r="G92" s="4">
        <f>G86*G91</f>
        <v/>
      </c>
    </row>
    <row r="93">
      <c r="A93" s="12" t="inlineStr">
        <is>
          <t>Sum of PV FCFs ($M)</t>
        </is>
      </c>
      <c r="B93" s="12">
        <f>SUM(C92:G92)</f>
        <v/>
      </c>
    </row>
    <row r="95">
      <c r="A95" s="8" t="inlineStr">
        <is>
          <t>TERMINAL VALUE</t>
        </is>
      </c>
      <c r="B95" s="2" t="n"/>
      <c r="C95" s="2" t="n"/>
      <c r="D95" s="2" t="n"/>
      <c r="E95" s="2" t="n"/>
      <c r="F95" s="2" t="n"/>
      <c r="G95" s="2" t="n"/>
      <c r="H95" s="3" t="n"/>
    </row>
    <row r="96">
      <c r="A96" s="4" t="inlineStr">
        <is>
          <t>Terminal Growth (%)</t>
        </is>
      </c>
      <c r="B96" s="4">
        <f>IF($B$4=1,$B$21,IF($B$4=2,$B$32,$B$43))</f>
        <v/>
      </c>
    </row>
    <row r="97">
      <c r="A97" s="4" t="inlineStr">
        <is>
          <t>Terminal FCF ($M)</t>
        </is>
      </c>
      <c r="B97" s="4">
        <f>G86*(1+B96)</f>
        <v/>
      </c>
    </row>
    <row r="98">
      <c r="A98" s="4" t="inlineStr">
        <is>
          <t>Terminal Value ($M)</t>
        </is>
      </c>
      <c r="B98" s="4">
        <f>B97/($B$55-B96)</f>
        <v/>
      </c>
    </row>
    <row r="99">
      <c r="A99" s="4" t="inlineStr">
        <is>
          <t>PV of Terminal Value ($M)</t>
        </is>
      </c>
      <c r="B99" s="4">
        <f>B98/(1+$B$55)^4.5</f>
        <v/>
      </c>
    </row>
    <row r="101">
      <c r="A101" s="8" t="inlineStr">
        <is>
          <t>VALUATION SUMMARY</t>
        </is>
      </c>
      <c r="B101" s="2" t="n"/>
      <c r="C101" s="2" t="n"/>
      <c r="D101" s="2" t="n"/>
      <c r="E101" s="2" t="n"/>
      <c r="F101" s="2" t="n"/>
      <c r="G101" s="2" t="n"/>
      <c r="H101" s="3" t="n"/>
    </row>
    <row r="102">
      <c r="A102" s="4" t="inlineStr">
        <is>
          <t>Sum of PV FCFs</t>
        </is>
      </c>
      <c r="B102" s="4">
        <f>B93</f>
        <v/>
      </c>
    </row>
    <row r="103">
      <c r="A103" s="4" t="inlineStr">
        <is>
          <t>PV of Terminal Value</t>
        </is>
      </c>
      <c r="B103" s="4">
        <f>B99</f>
        <v/>
      </c>
    </row>
    <row r="104">
      <c r="A104" s="12" t="inlineStr">
        <is>
          <t>Enterprise Value ($M)</t>
        </is>
      </c>
      <c r="B104" s="12">
        <f>B102+B103</f>
        <v/>
      </c>
    </row>
    <row r="105">
      <c r="A105" s="4" t="inlineStr">
        <is>
          <t>Net Debt ($M)</t>
        </is>
      </c>
      <c r="B105" s="4">
        <f>B10</f>
        <v/>
      </c>
    </row>
    <row r="106">
      <c r="A106" s="12" t="inlineStr">
        <is>
          <t>Equity Value ($M)</t>
        </is>
      </c>
      <c r="B106" s="12">
        <f>B104+B105</f>
        <v/>
      </c>
    </row>
    <row r="108">
      <c r="A108" s="4" t="inlineStr">
        <is>
          <t>Shares Outstanding (M)</t>
        </is>
      </c>
      <c r="B108" s="4">
        <f>B8</f>
        <v/>
      </c>
    </row>
    <row r="109">
      <c r="A109" s="12" t="inlineStr">
        <is>
          <t>Implied Price per Share ($)</t>
        </is>
      </c>
      <c r="B109" s="13">
        <f>B106/B108</f>
        <v/>
      </c>
    </row>
    <row r="110">
      <c r="A110" s="4" t="inlineStr">
        <is>
          <t>Current Stock Price ($)</t>
        </is>
      </c>
      <c r="B110" s="7">
        <f>B7</f>
        <v/>
      </c>
    </row>
    <row r="111">
      <c r="A111" s="12" t="inlineStr">
        <is>
          <t>Implied Upside/(Downside)</t>
        </is>
      </c>
      <c r="B111" s="14">
        <f>B109/B110-1</f>
        <v/>
      </c>
    </row>
  </sheetData>
  <mergeCells count="12">
    <mergeCell ref="A62:H62"/>
    <mergeCell ref="A101:H101"/>
    <mergeCell ref="A35:H35"/>
    <mergeCell ref="A81:H81"/>
    <mergeCell ref="A24:H24"/>
    <mergeCell ref="A95:H95"/>
    <mergeCell ref="A13:H13"/>
    <mergeCell ref="A58:H58"/>
    <mergeCell ref="A1:H1"/>
    <mergeCell ref="A46:H46"/>
    <mergeCell ref="A89:H89"/>
    <mergeCell ref="A6:H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COST OF CAPITAL (WACC)</t>
        </is>
      </c>
    </row>
    <row r="3">
      <c r="A3" s="15" t="inlineStr">
        <is>
          <t>COST OF EQUITY</t>
        </is>
      </c>
    </row>
    <row r="4">
      <c r="A4" s="4" t="inlineStr">
        <is>
          <t>Risk-Free Rate (%)</t>
        </is>
      </c>
      <c r="B4" s="7" t="n">
        <v>0.043</v>
      </c>
    </row>
    <row r="5">
      <c r="A5" s="4" t="inlineStr">
        <is>
          <t>Equity Risk Premium (%)</t>
        </is>
      </c>
      <c r="B5" s="7" t="n">
        <v>0.055</v>
      </c>
    </row>
    <row r="6">
      <c r="A6" s="4" t="inlineStr">
        <is>
          <t>Beta</t>
        </is>
      </c>
      <c r="B6" s="7" t="n">
        <v>2.2</v>
      </c>
    </row>
    <row r="7">
      <c r="A7" s="4" t="inlineStr">
        <is>
          <t>Cost of Equity (%)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Cost of Debt (%)</t>
        </is>
      </c>
      <c r="B10" s="7" t="n">
        <v>0.055</v>
      </c>
    </row>
    <row r="11">
      <c r="A11" s="4" t="inlineStr">
        <is>
          <t>Tax Rate (%)</t>
        </is>
      </c>
      <c r="B11" s="7" t="n">
        <v>0.21</v>
      </c>
    </row>
    <row r="12">
      <c r="A12" s="4" t="inlineStr">
        <is>
          <t>After-Tax Cost of Debt (%)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 ($M)</t>
        </is>
      </c>
      <c r="B15" s="16">
        <f>DCF!B9</f>
        <v/>
      </c>
    </row>
    <row r="16">
      <c r="A16" s="4" t="inlineStr">
        <is>
          <t>Net Debt ($M)</t>
        </is>
      </c>
      <c r="B16" s="16">
        <f>DCF!B10</f>
        <v/>
      </c>
    </row>
    <row r="17">
      <c r="A17" s="4" t="inlineStr">
        <is>
          <t>Enterprise Value ($M)</t>
        </is>
      </c>
      <c r="B17" s="16">
        <f>B15+B16</f>
        <v/>
      </c>
    </row>
    <row r="18">
      <c r="A18" s="4" t="inlineStr">
        <is>
          <t>Equity Weight (%)</t>
        </is>
      </c>
      <c r="B18" s="17">
        <f>B15/B17</f>
        <v/>
      </c>
    </row>
    <row r="19">
      <c r="A19" s="4" t="inlineStr">
        <is>
          <t>Debt Weight (%)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2026-05-10T05:03:28Z</dcterms:created>
  <dcterms:modified xsi:type="dcterms:W3CDTF">2026-05-10T05:03:28Z</dcterms:modified>
</cp:coreProperties>
</file>