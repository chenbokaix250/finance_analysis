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b val="1"/>
      <color rgb="00C00000"/>
    </font>
    <font>
      <b val="1"/>
      <color rgb="000070C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SMH DCF Valuation Model</t>
        </is>
      </c>
    </row>
    <row r="3">
      <c r="A3" s="2" t="inlineStr">
        <is>
          <t>公司基本信息</t>
        </is>
      </c>
    </row>
    <row r="4">
      <c r="A4" s="3" t="inlineStr">
        <is>
          <t>股票代码</t>
        </is>
      </c>
      <c r="B4" s="4" t="inlineStr">
        <is>
          <t>SMH</t>
        </is>
      </c>
      <c r="C4" s="3" t="inlineStr">
        <is>
          <t>公司名称</t>
        </is>
      </c>
      <c r="D4" s="4" t="inlineStr">
        <is>
          <t>VanEck Semiconductor ETF</t>
        </is>
      </c>
    </row>
    <row r="5">
      <c r="A5" s="3" t="inlineStr">
        <is>
          <t>当前股价</t>
        </is>
      </c>
      <c r="B5" s="5" t="n">
        <v>185</v>
      </c>
      <c r="C5" s="3" t="inlineStr">
        <is>
          <t>总股本 (M)</t>
        </is>
      </c>
      <c r="D5" s="5" t="n">
        <v>550</v>
      </c>
    </row>
    <row r="6">
      <c r="A6" s="3" t="inlineStr">
        <is>
          <t>LTM营收 ($B)</t>
        </is>
      </c>
      <c r="B6" s="5" t="n">
        <v>20</v>
      </c>
      <c r="C6" s="3" t="inlineStr">
        <is>
          <t>LTM净利润 ($B)</t>
        </is>
      </c>
      <c r="D6" s="5" t="n">
        <v>4.5</v>
      </c>
    </row>
    <row r="7">
      <c r="A7" s="3" t="inlineStr">
        <is>
          <t>市值 ($B)</t>
        </is>
      </c>
      <c r="B7" s="6">
        <f>B5*B6</f>
        <v/>
      </c>
      <c r="C7" s="3" t="inlineStr">
        <is>
          <t>P/E (TTM)</t>
        </is>
      </c>
      <c r="D7" s="6">
        <f>IF(B7&gt;0,B5/B7,"N/A")</f>
        <v/>
      </c>
    </row>
    <row r="9">
      <c r="A9" s="2" t="inlineStr">
        <is>
          <t>WACC 计算</t>
        </is>
      </c>
    </row>
    <row r="10">
      <c r="A10" s="3" t="inlineStr">
        <is>
          <t>无风险利率 (Rf)</t>
        </is>
      </c>
      <c r="B10" s="5" t="n">
        <v>0.042</v>
      </c>
      <c r="C10" s="3" t="inlineStr">
        <is>
          <t>市场ERP</t>
        </is>
      </c>
      <c r="D10" s="5" t="n">
        <v>0.055</v>
      </c>
    </row>
    <row r="11">
      <c r="A11" s="3" t="inlineStr">
        <is>
          <t>Beta (β)</t>
        </is>
      </c>
      <c r="B11" s="5" t="n">
        <v>1.1</v>
      </c>
      <c r="C11" s="3" t="inlineStr">
        <is>
          <t>股权成本 (Ke)</t>
        </is>
      </c>
      <c r="D11" s="7">
        <f>B10+B11*0.055</f>
        <v/>
      </c>
    </row>
    <row r="12">
      <c r="A12" s="3" t="inlineStr">
        <is>
          <t>债务成本 (Kd)</t>
        </is>
      </c>
      <c r="B12" s="5" t="n">
        <v>0.05</v>
      </c>
      <c r="C12" s="3" t="inlineStr">
        <is>
          <t>税率</t>
        </is>
      </c>
      <c r="D12" s="5" t="n">
        <v>0.18</v>
      </c>
    </row>
    <row r="13">
      <c r="A13" s="3" t="inlineStr">
        <is>
          <t>债务权重</t>
        </is>
      </c>
      <c r="B13" s="5" t="n">
        <v>0.15</v>
      </c>
      <c r="C13" s="3" t="inlineStr">
        <is>
          <t>股权权重</t>
        </is>
      </c>
      <c r="D13" s="8">
        <f>1-B13</f>
        <v/>
      </c>
    </row>
    <row r="14">
      <c r="A14" s="3" t="inlineStr">
        <is>
          <t>WACC</t>
        </is>
      </c>
      <c r="B14" s="9">
        <f>B11*B13+(1-B13)*B12*(1-B12_2)</f>
        <v/>
      </c>
    </row>
    <row r="15" ht="20" customHeight="1">
      <c r="A15" s="2" t="inlineStr">
        <is>
          <t>收入与FCF预测 (5年)</t>
        </is>
      </c>
    </row>
    <row r="16">
      <c r="A16" s="10" t="inlineStr"/>
      <c r="B16" s="11" t="inlineStr">
        <is>
          <t>Bear</t>
        </is>
      </c>
      <c r="C16" s="12" t="inlineStr">
        <is>
          <t>Base</t>
        </is>
      </c>
      <c r="D16" s="13" t="inlineStr">
        <is>
          <t>Bull</t>
        </is>
      </c>
      <c r="E16" s="14" t="inlineStr"/>
      <c r="F16" s="14" t="inlineStr"/>
      <c r="G16" s="14" t="inlineStr"/>
    </row>
    <row r="17">
      <c r="A17" s="15" t="inlineStr">
        <is>
          <t>收入增速 (CAGR)</t>
        </is>
      </c>
      <c r="B17" s="14" t="n">
        <v>0.15</v>
      </c>
      <c r="C17" s="14" t="n">
        <v>0.12</v>
      </c>
      <c r="D17" s="14" t="n">
        <v>0.1</v>
      </c>
      <c r="E17" s="16" t="n"/>
      <c r="F17" s="16" t="n"/>
      <c r="G17" s="16" t="n"/>
    </row>
    <row r="18">
      <c r="A18" s="15" t="inlineStr">
        <is>
          <t>Year 1 收入 ($B)</t>
        </is>
      </c>
      <c r="B18" s="6" t="n">
        <v>23</v>
      </c>
      <c r="C18" s="6" t="n">
        <v>22.4</v>
      </c>
      <c r="D18" s="6" t="n">
        <v>22</v>
      </c>
      <c r="E18" s="16" t="n"/>
      <c r="F18" s="16" t="n"/>
      <c r="G18" s="16" t="n"/>
    </row>
    <row r="19">
      <c r="A19" s="15" t="inlineStr">
        <is>
          <t>Year 2 收入 ($B)</t>
        </is>
      </c>
      <c r="B19" s="6" t="n">
        <v>26.45</v>
      </c>
      <c r="C19" s="6" t="n">
        <v>25.088</v>
      </c>
      <c r="D19" s="6" t="n">
        <v>24.2</v>
      </c>
      <c r="E19" s="16" t="n"/>
      <c r="F19" s="16" t="n"/>
      <c r="G19" s="16" t="n"/>
    </row>
    <row r="20">
      <c r="A20" s="15" t="inlineStr">
        <is>
          <t>Year 3 收入 ($B)</t>
        </is>
      </c>
      <c r="B20" s="6" t="n">
        <v>30.4175</v>
      </c>
      <c r="C20" s="6" t="n">
        <v>28.09856000000001</v>
      </c>
      <c r="D20" s="6" t="n">
        <v>26.62000000000001</v>
      </c>
      <c r="E20" s="16" t="n"/>
      <c r="F20" s="16" t="n"/>
      <c r="G20" s="16" t="n"/>
    </row>
    <row r="21">
      <c r="A21" s="15" t="inlineStr">
        <is>
          <t>Year 4 收入 ($B)</t>
        </is>
      </c>
      <c r="B21" s="6" t="n">
        <v>34.98012499999999</v>
      </c>
      <c r="C21" s="6" t="n">
        <v>31.47038720000001</v>
      </c>
      <c r="D21" s="6" t="n">
        <v>29.28200000000001</v>
      </c>
      <c r="E21" s="16" t="n"/>
      <c r="F21" s="16" t="n"/>
      <c r="G21" s="16" t="n"/>
    </row>
    <row r="22">
      <c r="A22" s="15" t="inlineStr">
        <is>
          <t>Year 5 收入 ($B)</t>
        </is>
      </c>
      <c r="B22" s="6" t="n">
        <v>40.22714374999999</v>
      </c>
      <c r="C22" s="6" t="n">
        <v>35.24683366400001</v>
      </c>
      <c r="D22" s="6" t="n">
        <v>32.21020000000001</v>
      </c>
      <c r="E22" s="16" t="n"/>
      <c r="F22" s="16" t="n"/>
      <c r="G22" s="16" t="n"/>
    </row>
    <row r="23">
      <c r="A23" s="15" t="inlineStr">
        <is>
          <t>FCF Margin</t>
        </is>
      </c>
      <c r="B23" s="14" t="n">
        <v>0.22</v>
      </c>
      <c r="C23" s="14" t="n">
        <v>0.26</v>
      </c>
      <c r="D23" s="14" t="n">
        <v>0.3</v>
      </c>
      <c r="E23" s="16" t="n"/>
      <c r="F23" s="16" t="n"/>
      <c r="G23" s="16" t="n"/>
    </row>
    <row r="24">
      <c r="A24" s="15" t="inlineStr">
        <is>
          <t>Year 1 FCF ($B)</t>
        </is>
      </c>
      <c r="B24" s="6" t="n">
        <v>5.06</v>
      </c>
      <c r="C24" s="6" t="n">
        <v>5.824000000000001</v>
      </c>
      <c r="D24" s="6" t="n">
        <v>6.6</v>
      </c>
      <c r="E24" s="16" t="n"/>
      <c r="F24" s="16" t="n"/>
      <c r="G24" s="16" t="n"/>
    </row>
    <row r="25">
      <c r="A25" s="15" t="inlineStr">
        <is>
          <t>Year 2 FCF ($B)</t>
        </is>
      </c>
      <c r="B25" s="6" t="n">
        <v>5.818999999999999</v>
      </c>
      <c r="C25" s="6" t="n">
        <v>6.522880000000002</v>
      </c>
      <c r="D25" s="6" t="n">
        <v>7.260000000000001</v>
      </c>
      <c r="E25" s="16" t="n"/>
      <c r="F25" s="16" t="n"/>
      <c r="G25" s="16" t="n"/>
    </row>
    <row r="26">
      <c r="A26" s="15" t="inlineStr">
        <is>
          <t>Year 3 FCF ($B)</t>
        </is>
      </c>
      <c r="B26" s="6" t="n">
        <v>6.69185</v>
      </c>
      <c r="C26" s="6" t="n">
        <v>7.305625600000002</v>
      </c>
      <c r="D26" s="6" t="n">
        <v>7.986000000000002</v>
      </c>
      <c r="E26" s="16" t="n"/>
      <c r="F26" s="16" t="n"/>
      <c r="G26" s="16" t="n"/>
    </row>
    <row r="27">
      <c r="A27" s="15" t="inlineStr">
        <is>
          <t>Year 4 FCF ($B)</t>
        </is>
      </c>
      <c r="B27" s="6" t="n">
        <v>7.695627499999997</v>
      </c>
      <c r="C27" s="6" t="n">
        <v>8.182300672000004</v>
      </c>
      <c r="D27" s="6" t="n">
        <v>8.784600000000001</v>
      </c>
      <c r="E27" s="16" t="n"/>
      <c r="F27" s="16" t="n"/>
      <c r="G27" s="16" t="n"/>
    </row>
    <row r="28">
      <c r="A28" s="15" t="inlineStr">
        <is>
          <t>Year 5 FCF ($B)</t>
        </is>
      </c>
      <c r="B28" s="6" t="n">
        <v>8.849971624999998</v>
      </c>
      <c r="C28" s="6" t="n">
        <v>9.164176752640005</v>
      </c>
      <c r="D28" s="6" t="n">
        <v>9.663060000000003</v>
      </c>
      <c r="E28" s="16" t="n"/>
      <c r="F28" s="16" t="n"/>
      <c r="G28" s="16" t="n"/>
    </row>
    <row r="29">
      <c r="A29" s="2" t="inlineStr">
        <is>
          <t>终值计算</t>
        </is>
      </c>
    </row>
    <row r="30">
      <c r="A30" s="15" t="inlineStr">
        <is>
          <t>永续增长率 (g)</t>
        </is>
      </c>
      <c r="B30" s="14" t="n">
        <v>0.2</v>
      </c>
      <c r="C30" s="14" t="n">
        <v>0.25</v>
      </c>
      <c r="D30" s="14" t="n">
        <v>0.3</v>
      </c>
      <c r="E30" s="16" t="n"/>
      <c r="F30" s="16" t="n"/>
      <c r="G30" s="16" t="n"/>
    </row>
    <row r="31">
      <c r="A31" s="15" t="inlineStr">
        <is>
          <t>终值 (TV)</t>
        </is>
      </c>
      <c r="B31" s="17">
        <f>B32*(1+0.2)/(B14-0.2)</f>
        <v/>
      </c>
      <c r="C31" s="17">
        <f>C32*(1+0.25)/(B14-0.25)</f>
        <v/>
      </c>
      <c r="D31" s="17">
        <f>D32*(1+0.3)/(B14-0.3)</f>
        <v/>
      </c>
      <c r="E31" s="16" t="n"/>
      <c r="F31" s="16" t="n"/>
      <c r="G31" s="16" t="n"/>
    </row>
    <row r="32">
      <c r="A32" s="15" t="inlineStr">
        <is>
          <t>PV of Terminal Value</t>
        </is>
      </c>
      <c r="B32" s="17">
        <f>B31/(1+B14)^5</f>
        <v/>
      </c>
      <c r="C32" s="17">
        <f>C31/(1+B14)^5</f>
        <v/>
      </c>
      <c r="D32" s="17">
        <f>D31/(1+B14)^5</f>
        <v/>
      </c>
      <c r="E32" s="16" t="n"/>
      <c r="F32" s="16" t="n"/>
      <c r="G32" s="16" t="n"/>
    </row>
    <row r="33">
      <c r="A33" s="15" t="inlineStr">
        <is>
          <t>PV of FCF (5yr)</t>
        </is>
      </c>
      <c r="B33" s="17">
        <f>NPV(B14,B26:B30)</f>
        <v/>
      </c>
      <c r="E33" s="16" t="n"/>
      <c r="F33" s="16" t="n"/>
      <c r="G33" s="16" t="n"/>
    </row>
    <row r="34">
      <c r="A34" s="2" t="inlineStr">
        <is>
          <t>估值结果</t>
        </is>
      </c>
    </row>
    <row r="35">
      <c r="A35" s="15" t="inlineStr">
        <is>
          <t>PV of FCF + PV of TV</t>
        </is>
      </c>
      <c r="B35" s="17">
        <f>B35+B36</f>
        <v/>
      </c>
      <c r="C35" s="17">
        <f>C35+C36</f>
        <v/>
      </c>
      <c r="D35" s="17">
        <f>D35+D36</f>
        <v/>
      </c>
      <c r="E35" s="16" t="n"/>
      <c r="F35" s="16" t="n"/>
      <c r="G35" s="16" t="n"/>
    </row>
    <row r="36">
      <c r="A36" s="15" t="inlineStr">
        <is>
          <t>股权价值 ($B)</t>
        </is>
      </c>
      <c r="B36" s="17">
        <f>B35</f>
        <v/>
      </c>
      <c r="C36" s="17">
        <f>C35</f>
        <v/>
      </c>
      <c r="D36" s="17">
        <f>D35</f>
        <v/>
      </c>
      <c r="E36" s="16" t="n"/>
      <c r="F36" s="16" t="n"/>
      <c r="G36" s="16" t="n"/>
    </row>
    <row r="37">
      <c r="A37" s="18" t="inlineStr">
        <is>
          <t>每股价值 ($)</t>
        </is>
      </c>
      <c r="B37" s="19">
        <f>B36*1000/B6</f>
        <v/>
      </c>
      <c r="C37" s="19">
        <f>C36*1000/B6</f>
        <v/>
      </c>
      <c r="D37" s="19">
        <f>D36*1000/B6</f>
        <v/>
      </c>
      <c r="E37" s="16" t="n"/>
      <c r="F37" s="16" t="n"/>
      <c r="G37" s="16" t="n"/>
    </row>
    <row r="38">
      <c r="A38" s="15" t="inlineStr">
        <is>
          <t>当前股价 ($)</t>
        </is>
      </c>
      <c r="B38" s="20" t="n">
        <v>185</v>
      </c>
      <c r="C38" s="20" t="n">
        <v>185</v>
      </c>
      <c r="D38" s="20" t="n">
        <v>185</v>
      </c>
      <c r="E38" s="16" t="n"/>
      <c r="F38" s="16" t="n"/>
      <c r="G38" s="16" t="n"/>
    </row>
    <row r="39">
      <c r="A39" s="18" t="inlineStr">
        <is>
          <t>潜在涨跌幅</t>
        </is>
      </c>
      <c r="B39" s="21">
        <f>B37/B39-1</f>
        <v/>
      </c>
      <c r="C39" s="21">
        <f>C37/B39-1</f>
        <v/>
      </c>
      <c r="D39" s="21">
        <f>D37/B39-1</f>
        <v/>
      </c>
      <c r="E39" s="16" t="n"/>
      <c r="F39" s="16" t="n"/>
      <c r="G39" s="16" t="n"/>
    </row>
  </sheetData>
  <mergeCells count="8">
    <mergeCell ref="B33:D33"/>
    <mergeCell ref="A1:G1"/>
    <mergeCell ref="D4:F4"/>
    <mergeCell ref="A9:F9"/>
    <mergeCell ref="A29:F29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