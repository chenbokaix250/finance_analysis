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Stock price</t>
      </text>
    </comment>
    <comment ref="B8" authorId="0" shapeId="0">
      <text>
        <t>Diluted shares</t>
      </text>
    </comment>
    <comment ref="B10" authorId="0" shapeId="0">
      <text>
        <t>Net debt</t>
      </text>
    </comment>
    <comment ref="B50" authorId="0" shapeId="0">
      <text>
        <t>10Y Treasury</t>
      </text>
    </comment>
    <comment ref="B51" authorId="0" shapeId="0">
      <text>
        <t>Market ERP</t>
      </text>
    </comment>
    <comment ref="B52" authorId="0" shapeId="0">
      <text>
        <t>High volatility small cap</t>
      </text>
    </comment>
    <comment ref="B53" authorId="0" shapeId="0">
      <text>
        <t>High yield</t>
      </text>
    </comment>
    <comment ref="B54" authorId="0" shapeId="0">
      <text>
        <t>Effective tax</t>
      </text>
    </comment>
    <comment ref="B62" authorId="0" shapeId="0">
      <text>
        <t>~$280M LTM revenue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</t>
      </text>
    </comment>
    <comment ref="B5" authorId="0" shapeId="0">
      <text>
        <t>Market</t>
      </text>
    </comment>
    <comment ref="B6" authorId="0" shapeId="0">
      <text>
        <t>High vol</t>
      </text>
    </comment>
    <comment ref="B10" authorId="0" shapeId="0">
      <text>
        <t>High yield</t>
      </text>
    </comment>
    <comment ref="B11" authorId="0" shapeId="0">
      <text>
        <t>Eff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APPLIED OPTOELECTRONICS (AAOI)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AAOI | Date: 2026-05-10 | Year End: December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18</v>
      </c>
    </row>
    <row r="8">
      <c r="A8" s="4" t="inlineStr">
        <is>
          <t>Shares Outstanding (M)</t>
        </is>
      </c>
      <c r="B8" s="7" t="n">
        <v>42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50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0.02</v>
      </c>
      <c r="C15" s="7" t="n">
        <v>0.02</v>
      </c>
      <c r="D15" s="7" t="n">
        <v>0.03</v>
      </c>
      <c r="E15" s="7" t="n">
        <v>0.03</v>
      </c>
      <c r="F15" s="7" t="n">
        <v>0.03</v>
      </c>
    </row>
    <row r="16">
      <c r="A16" s="4" t="inlineStr">
        <is>
          <t>Gross Margin (%)</t>
        </is>
      </c>
      <c r="B16" s="7" t="n">
        <v>0.22</v>
      </c>
      <c r="C16" s="7" t="n">
        <v>0.21</v>
      </c>
      <c r="D16" s="7" t="n">
        <v>0.21</v>
      </c>
      <c r="E16" s="7" t="n">
        <v>0.2</v>
      </c>
      <c r="F16" s="7" t="n">
        <v>0.2</v>
      </c>
    </row>
    <row r="17">
      <c r="A17" s="4" t="inlineStr">
        <is>
          <t>EBIT Margin (%)</t>
        </is>
      </c>
      <c r="B17" s="7" t="n">
        <v>0.06</v>
      </c>
      <c r="C17" s="7" t="n">
        <v>0.05</v>
      </c>
      <c r="D17" s="7" t="n">
        <v>0.05</v>
      </c>
      <c r="E17" s="7" t="n">
        <v>0.05</v>
      </c>
      <c r="F17" s="7" t="n">
        <v>0.04</v>
      </c>
    </row>
    <row r="18">
      <c r="A18" s="4" t="inlineStr">
        <is>
          <t>Tax Rate (%)</t>
        </is>
      </c>
      <c r="B18" s="7" t="n">
        <v>0.15</v>
      </c>
      <c r="C18" s="7" t="n">
        <v>0.15</v>
      </c>
      <c r="D18" s="7" t="n">
        <v>0.15</v>
      </c>
      <c r="E18" s="7" t="n">
        <v>0.15</v>
      </c>
      <c r="F18" s="7" t="n">
        <v>0.15</v>
      </c>
    </row>
    <row r="19">
      <c r="A19" s="4" t="inlineStr">
        <is>
          <t>D&amp;A % Rev</t>
        </is>
      </c>
      <c r="B19" s="7" t="n">
        <v>0.04</v>
      </c>
      <c r="C19" s="7" t="n">
        <v>0.04</v>
      </c>
      <c r="D19" s="7" t="n">
        <v>0.04</v>
      </c>
      <c r="E19" s="7" t="n">
        <v>0.04</v>
      </c>
      <c r="F19" s="7" t="n">
        <v>0.04</v>
      </c>
    </row>
    <row r="20">
      <c r="A20" s="4" t="inlineStr">
        <is>
          <t>CapEx % Rev</t>
        </is>
      </c>
      <c r="B20" s="7" t="n">
        <v>0.03</v>
      </c>
      <c r="C20" s="7" t="n">
        <v>0.03</v>
      </c>
      <c r="D20" s="7" t="n">
        <v>0.03</v>
      </c>
      <c r="E20" s="7" t="n">
        <v>0.03</v>
      </c>
      <c r="F20" s="7" t="n">
        <v>0.03</v>
      </c>
    </row>
    <row r="21">
      <c r="A21" s="4" t="inlineStr">
        <is>
          <t>NWC % ΔRev</t>
        </is>
      </c>
      <c r="B21" s="7" t="n">
        <v>-0.01</v>
      </c>
      <c r="C21" s="7" t="n">
        <v>-0.01</v>
      </c>
      <c r="D21" s="7" t="n">
        <v>-0.01</v>
      </c>
      <c r="E21" s="7" t="n">
        <v>-0.01</v>
      </c>
      <c r="F21" s="7" t="n">
        <v>-0.01</v>
      </c>
    </row>
    <row r="22">
      <c r="A22" s="4" t="inlineStr">
        <is>
          <t>Terminal g (%)</t>
        </is>
      </c>
      <c r="B22" s="7" t="n">
        <v>0.018</v>
      </c>
      <c r="C22" s="4" t="n"/>
      <c r="D22" s="4" t="n"/>
      <c r="E22" s="4" t="n"/>
      <c r="F22" s="4" t="n"/>
    </row>
    <row r="25">
      <c r="A25" s="8" t="inlineStr">
        <is>
          <t>BASE CASE ASSUMPTIONS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6" t="inlineStr">
        <is>
          <t>Assumption</t>
        </is>
      </c>
      <c r="B26" s="6" t="inlineStr">
        <is>
          <t>FY2025E</t>
        </is>
      </c>
      <c r="C26" s="6" t="inlineStr">
        <is>
          <t>FY2026E</t>
        </is>
      </c>
      <c r="D26" s="6" t="inlineStr">
        <is>
          <t>FY2027E</t>
        </is>
      </c>
      <c r="E26" s="6" t="inlineStr">
        <is>
          <t>FY2028E</t>
        </is>
      </c>
      <c r="F26" s="6" t="inlineStr">
        <is>
          <t>FY2029E</t>
        </is>
      </c>
    </row>
    <row r="27">
      <c r="A27" s="4" t="inlineStr">
        <is>
          <t>Rev Growth (%)</t>
        </is>
      </c>
      <c r="B27" s="7" t="n">
        <v>0.05</v>
      </c>
      <c r="C27" s="7" t="n">
        <v>0.05</v>
      </c>
      <c r="D27" s="7" t="n">
        <v>0.06</v>
      </c>
      <c r="E27" s="7" t="n">
        <v>0.06</v>
      </c>
      <c r="F27" s="7" t="n">
        <v>0.06</v>
      </c>
    </row>
    <row r="28">
      <c r="A28" s="4" t="inlineStr">
        <is>
          <t>Gross Margin (%)</t>
        </is>
      </c>
      <c r="B28" s="7" t="n">
        <v>0.26</v>
      </c>
      <c r="C28" s="7" t="n">
        <v>0.26</v>
      </c>
      <c r="D28" s="7" t="n">
        <v>0.27</v>
      </c>
      <c r="E28" s="7" t="n">
        <v>0.27</v>
      </c>
      <c r="F28" s="7" t="n">
        <v>0.27</v>
      </c>
    </row>
    <row r="29">
      <c r="A29" s="4" t="inlineStr">
        <is>
          <t>EBIT Margin (%)</t>
        </is>
      </c>
      <c r="B29" s="7" t="n">
        <v>0.1</v>
      </c>
      <c r="C29" s="7" t="n">
        <v>0.1</v>
      </c>
      <c r="D29" s="7" t="n">
        <v>0.11</v>
      </c>
      <c r="E29" s="7" t="n">
        <v>0.11</v>
      </c>
      <c r="F29" s="7" t="n">
        <v>0.12</v>
      </c>
    </row>
    <row r="30">
      <c r="A30" s="4" t="inlineStr">
        <is>
          <t>Tax Rate (%)</t>
        </is>
      </c>
      <c r="B30" s="7" t="n">
        <v>0.15</v>
      </c>
      <c r="C30" s="7" t="n">
        <v>0.15</v>
      </c>
      <c r="D30" s="7" t="n">
        <v>0.15</v>
      </c>
      <c r="E30" s="7" t="n">
        <v>0.15</v>
      </c>
      <c r="F30" s="7" t="n">
        <v>0.15</v>
      </c>
    </row>
    <row r="31">
      <c r="A31" s="4" t="inlineStr">
        <is>
          <t>D&amp;A % Rev</t>
        </is>
      </c>
      <c r="B31" s="7" t="n">
        <v>0.04</v>
      </c>
      <c r="C31" s="7" t="n">
        <v>0.04</v>
      </c>
      <c r="D31" s="7" t="n">
        <v>0.04</v>
      </c>
      <c r="E31" s="7" t="n">
        <v>0.04</v>
      </c>
      <c r="F31" s="7" t="n">
        <v>0.04</v>
      </c>
    </row>
    <row r="32">
      <c r="A32" s="4" t="inlineStr">
        <is>
          <t>CapEx % Rev</t>
        </is>
      </c>
      <c r="B32" s="7" t="n">
        <v>0.03</v>
      </c>
      <c r="C32" s="7" t="n">
        <v>0.03</v>
      </c>
      <c r="D32" s="7" t="n">
        <v>0.03</v>
      </c>
      <c r="E32" s="7" t="n">
        <v>0.03</v>
      </c>
      <c r="F32" s="7" t="n">
        <v>0.03</v>
      </c>
    </row>
    <row r="33">
      <c r="A33" s="4" t="inlineStr">
        <is>
          <t>NWC % ΔRev</t>
        </is>
      </c>
      <c r="B33" s="7" t="n">
        <v>-0.01</v>
      </c>
      <c r="C33" s="7" t="n">
        <v>-0.01</v>
      </c>
      <c r="D33" s="7" t="n">
        <v>-0.01</v>
      </c>
      <c r="E33" s="7" t="n">
        <v>-0.01</v>
      </c>
      <c r="F33" s="7" t="n">
        <v>-0.01</v>
      </c>
    </row>
    <row r="34">
      <c r="A34" s="4" t="inlineStr">
        <is>
          <t>Terminal g (%)</t>
        </is>
      </c>
      <c r="B34" s="7" t="n">
        <v>0.022</v>
      </c>
      <c r="C34" s="4" t="n"/>
      <c r="D34" s="4" t="n"/>
      <c r="E34" s="4" t="n"/>
      <c r="F34" s="4" t="n"/>
    </row>
    <row r="37">
      <c r="A37" s="10" t="inlineStr">
        <is>
          <t>BULL CASE ASSUMPTIONS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6" t="inlineStr">
        <is>
          <t>Assumption</t>
        </is>
      </c>
      <c r="B38" s="6" t="inlineStr">
        <is>
          <t>FY2025E</t>
        </is>
      </c>
      <c r="C38" s="6" t="inlineStr">
        <is>
          <t>FY2026E</t>
        </is>
      </c>
      <c r="D38" s="6" t="inlineStr">
        <is>
          <t>FY2027E</t>
        </is>
      </c>
      <c r="E38" s="6" t="inlineStr">
        <is>
          <t>FY2028E</t>
        </is>
      </c>
      <c r="F38" s="6" t="inlineStr">
        <is>
          <t>FY2029E</t>
        </is>
      </c>
    </row>
    <row r="39">
      <c r="A39" s="4" t="inlineStr">
        <is>
          <t>Rev Growth (%)</t>
        </is>
      </c>
      <c r="B39" s="7" t="n">
        <v>0.1</v>
      </c>
      <c r="C39" s="7" t="n">
        <v>0.09</v>
      </c>
      <c r="D39" s="7" t="n">
        <v>0.1</v>
      </c>
      <c r="E39" s="7" t="n">
        <v>0.09</v>
      </c>
      <c r="F39" s="7" t="n">
        <v>0.09</v>
      </c>
    </row>
    <row r="40">
      <c r="A40" s="4" t="inlineStr">
        <is>
          <t>Gross Margin (%)</t>
        </is>
      </c>
      <c r="B40" s="7" t="n">
        <v>0.3</v>
      </c>
      <c r="C40" s="7" t="n">
        <v>0.3</v>
      </c>
      <c r="D40" s="7" t="n">
        <v>0.31</v>
      </c>
      <c r="E40" s="7" t="n">
        <v>0.31</v>
      </c>
      <c r="F40" s="7" t="n">
        <v>0.32</v>
      </c>
    </row>
    <row r="41">
      <c r="A41" s="4" t="inlineStr">
        <is>
          <t>EBIT Margin (%)</t>
        </is>
      </c>
      <c r="B41" s="7" t="n">
        <v>0.14</v>
      </c>
      <c r="C41" s="7" t="n">
        <v>0.14</v>
      </c>
      <c r="D41" s="7" t="n">
        <v>0.15</v>
      </c>
      <c r="E41" s="7" t="n">
        <v>0.16</v>
      </c>
      <c r="F41" s="7" t="n">
        <v>0.17</v>
      </c>
    </row>
    <row r="42">
      <c r="A42" s="4" t="inlineStr">
        <is>
          <t>Tax Rate (%)</t>
        </is>
      </c>
      <c r="B42" s="7" t="n">
        <v>0.15</v>
      </c>
      <c r="C42" s="7" t="n">
        <v>0.15</v>
      </c>
      <c r="D42" s="7" t="n">
        <v>0.15</v>
      </c>
      <c r="E42" s="7" t="n">
        <v>0.15</v>
      </c>
      <c r="F42" s="7" t="n">
        <v>0.15</v>
      </c>
    </row>
    <row r="43">
      <c r="A43" s="4" t="inlineStr">
        <is>
          <t>D&amp;A % Rev</t>
        </is>
      </c>
      <c r="B43" s="7" t="n">
        <v>0.04</v>
      </c>
      <c r="C43" s="7" t="n">
        <v>0.04</v>
      </c>
      <c r="D43" s="7" t="n">
        <v>0.04</v>
      </c>
      <c r="E43" s="7" t="n">
        <v>0.04</v>
      </c>
      <c r="F43" s="7" t="n">
        <v>0.04</v>
      </c>
    </row>
    <row r="44">
      <c r="A44" s="4" t="inlineStr">
        <is>
          <t>CapEx % Rev</t>
        </is>
      </c>
      <c r="B44" s="7" t="n">
        <v>0.04</v>
      </c>
      <c r="C44" s="7" t="n">
        <v>0.04</v>
      </c>
      <c r="D44" s="7" t="n">
        <v>0.04</v>
      </c>
      <c r="E44" s="7" t="n">
        <v>0.04</v>
      </c>
      <c r="F44" s="7" t="n">
        <v>0.04</v>
      </c>
    </row>
    <row r="45">
      <c r="A45" s="4" t="inlineStr">
        <is>
          <t>NWC % ΔRev</t>
        </is>
      </c>
      <c r="B45" s="7" t="n">
        <v>-0.02</v>
      </c>
      <c r="C45" s="7" t="n">
        <v>-0.02</v>
      </c>
      <c r="D45" s="7" t="n">
        <v>-0.02</v>
      </c>
      <c r="E45" s="7" t="n">
        <v>-0.02</v>
      </c>
      <c r="F45" s="7" t="n">
        <v>-0.02</v>
      </c>
    </row>
    <row r="46">
      <c r="A46" s="4" t="inlineStr">
        <is>
          <t>Terminal g (%)</t>
        </is>
      </c>
      <c r="B46" s="7" t="n">
        <v>0.025</v>
      </c>
      <c r="C46" s="4" t="n"/>
      <c r="D46" s="4" t="n"/>
      <c r="E46" s="4" t="n"/>
      <c r="F46" s="4" t="n"/>
    </row>
    <row r="49">
      <c r="A49" s="8" t="inlineStr">
        <is>
          <t>WACC ASSUMPTIONS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4" t="inlineStr">
        <is>
          <t>Risk-Free Rate (%)</t>
        </is>
      </c>
      <c r="B50" s="7" t="n">
        <v>0.043</v>
      </c>
    </row>
    <row r="51">
      <c r="A51" s="4" t="inlineStr">
        <is>
          <t>Equity Risk Premium (%)</t>
        </is>
      </c>
      <c r="B51" s="7" t="n">
        <v>0.055</v>
      </c>
    </row>
    <row r="52">
      <c r="A52" s="4" t="inlineStr">
        <is>
          <t>Beta</t>
        </is>
      </c>
      <c r="B52" s="7" t="n">
        <v>1.7</v>
      </c>
    </row>
    <row r="53">
      <c r="A53" s="4" t="inlineStr">
        <is>
          <t>Pre-Tax Cost of Debt (%)</t>
        </is>
      </c>
      <c r="B53" s="7" t="n">
        <v>0.08</v>
      </c>
    </row>
    <row r="54">
      <c r="A54" s="4" t="inlineStr">
        <is>
          <t>Tax Rate (%)</t>
        </is>
      </c>
      <c r="B54" s="7" t="n">
        <v>0.15</v>
      </c>
    </row>
    <row r="56">
      <c r="A56" s="4" t="inlineStr">
        <is>
          <t>Cost of Equity (%)</t>
        </is>
      </c>
      <c r="B56" s="4">
        <f>B50+B51*B52</f>
        <v/>
      </c>
    </row>
    <row r="57">
      <c r="A57" s="4" t="inlineStr">
        <is>
          <t>After-Tax Cost of Debt (%)</t>
        </is>
      </c>
      <c r="B57" s="4">
        <f>B53*(1-B54)</f>
        <v/>
      </c>
    </row>
    <row r="58">
      <c r="A58" s="6" t="inlineStr">
        <is>
          <t>WACC (%)</t>
        </is>
      </c>
      <c r="B58" s="4">
        <f>(B56*B9/B11)+(B57*B10/B11)</f>
        <v/>
      </c>
    </row>
    <row r="61">
      <c r="A61" s="8" t="inlineStr">
        <is>
          <t>REVENUE PROJECTIONS ($M)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4" t="inlineStr">
        <is>
          <t>LTM Revenue</t>
        </is>
      </c>
      <c r="B62" s="7" t="n">
        <v>280</v>
      </c>
      <c r="C62" s="6" t="inlineStr">
        <is>
          <t>FY2025E</t>
        </is>
      </c>
      <c r="D62" s="6" t="inlineStr">
        <is>
          <t>FY2026E</t>
        </is>
      </c>
      <c r="E62" s="6" t="inlineStr">
        <is>
          <t>FY2027E</t>
        </is>
      </c>
      <c r="F62" s="6" t="inlineStr">
        <is>
          <t>FY2028E</t>
        </is>
      </c>
      <c r="G62" s="6" t="inlineStr">
        <is>
          <t>FY2029E</t>
        </is>
      </c>
    </row>
    <row r="63">
      <c r="C63" s="4">
        <f>B62*(1+IF($B$4=1,$C$15,IF($B$4=2,$C$27,$C$39)))</f>
        <v/>
      </c>
      <c r="D63" s="4">
        <f>C62*(1+IF($B$4=1,$D$15,IF($B$4=2,$D$27,$D$39)))</f>
        <v/>
      </c>
      <c r="E63" s="4">
        <f>D62*(1+IF($B$4=1,$E$15,IF($B$4=2,$E$27,$E$39)))</f>
        <v/>
      </c>
      <c r="F63" s="4">
        <f>E62*(1+IF($B$4=1,$F$15,IF($B$4=2,$F$27,$F$39)))</f>
        <v/>
      </c>
      <c r="G63" s="4">
        <f>F62*(1+IF($B$4=1,$G$15,IF($B$4=2,$G$27,$G$39)))</f>
        <v/>
      </c>
    </row>
    <row r="65">
      <c r="A65" s="8" t="inlineStr">
        <is>
          <t>GROSS MARGIN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C66" s="6" t="inlineStr">
        <is>
          <t>FY2025E</t>
        </is>
      </c>
      <c r="D66" s="6" t="inlineStr">
        <is>
          <t>FY2026E</t>
        </is>
      </c>
      <c r="E66" s="6" t="inlineStr">
        <is>
          <t>FY2027E</t>
        </is>
      </c>
      <c r="F66" s="6" t="inlineStr">
        <is>
          <t>FY2028E</t>
        </is>
      </c>
      <c r="G66" s="6" t="inlineStr">
        <is>
          <t>FY2029E</t>
        </is>
      </c>
    </row>
    <row r="67">
      <c r="C67" s="11">
        <f>IF($B$4=1,$C$16,IF($B$4=2,$C$28,$C$40))</f>
        <v/>
      </c>
      <c r="D67" s="11">
        <f>IF($B$4=1,$D$16,IF($B$4=2,$D$28,$D$40))</f>
        <v/>
      </c>
      <c r="E67" s="11">
        <f>IF($B$4=1,$E$16,IF($B$4=2,$E$28,$E$40))</f>
        <v/>
      </c>
      <c r="F67" s="11">
        <f>IF($B$4=1,$F$16,IF($B$4=2,$F$28,$F$40))</f>
        <v/>
      </c>
      <c r="G67" s="11">
        <f>IF($B$4=1,$G$16,IF($B$4=2,$G$28,$G$40))</f>
        <v/>
      </c>
    </row>
    <row r="69">
      <c r="A69" s="8" t="inlineStr">
        <is>
          <t>EBIT MARGIN</t>
        </is>
      </c>
      <c r="B69" s="2" t="n"/>
      <c r="C69" s="2" t="n"/>
      <c r="D69" s="2" t="n"/>
      <c r="E69" s="2" t="n"/>
      <c r="F69" s="2" t="n"/>
      <c r="G69" s="2" t="n"/>
      <c r="H69" s="3" t="n"/>
    </row>
    <row r="70">
      <c r="C70" s="6" t="inlineStr">
        <is>
          <t>FY2025E</t>
        </is>
      </c>
      <c r="D70" s="6" t="inlineStr">
        <is>
          <t>FY2026E</t>
        </is>
      </c>
      <c r="E70" s="6" t="inlineStr">
        <is>
          <t>FY2027E</t>
        </is>
      </c>
      <c r="F70" s="6" t="inlineStr">
        <is>
          <t>FY2028E</t>
        </is>
      </c>
      <c r="G70" s="6" t="inlineStr">
        <is>
          <t>FY2029E</t>
        </is>
      </c>
    </row>
    <row r="71">
      <c r="C71" s="11">
        <f>IF($B$4=1,$C$17,IF($B$4=2,$C$29,$C$41))</f>
        <v/>
      </c>
      <c r="D71" s="11">
        <f>IF($B$4=1,$D$17,IF($B$4=2,$D$29,$D$41))</f>
        <v/>
      </c>
      <c r="E71" s="11">
        <f>IF($B$4=1,$E$17,IF($B$4=2,$E$29,$E$41))</f>
        <v/>
      </c>
      <c r="F71" s="11">
        <f>IF($B$4=1,$F$17,IF($B$4=2,$F$29,$F$41))</f>
        <v/>
      </c>
      <c r="G71" s="11">
        <f>IF($B$4=1,$G$17,IF($B$4=2,$G$29,$G$41))</f>
        <v/>
      </c>
    </row>
    <row r="73">
      <c r="A73" s="4" t="inlineStr">
        <is>
          <t>EBIT ($M)</t>
        </is>
      </c>
      <c r="C73" s="4">
        <f>C63*C71</f>
        <v/>
      </c>
      <c r="D73" s="4">
        <f>D63*D71</f>
        <v/>
      </c>
      <c r="E73" s="4">
        <f>E63*E71</f>
        <v/>
      </c>
      <c r="F73" s="4">
        <f>F63*F71</f>
        <v/>
      </c>
      <c r="G73" s="4">
        <f>G63*G71</f>
        <v/>
      </c>
    </row>
    <row r="75">
      <c r="A75" s="4" t="inlineStr">
        <is>
          <t>Taxes</t>
        </is>
      </c>
      <c r="C75" s="4">
        <f>C73*IF($B$4=1,$C$18,IF($B$4=2,$C$30,$C$42))</f>
        <v/>
      </c>
      <c r="D75" s="4">
        <f>D73*IF($B$4=1,$D$18,IF($B$4=2,$D$30,$D$42))</f>
        <v/>
      </c>
      <c r="E75" s="4">
        <f>E73*IF($B$4=1,$E$18,IF($B$4=2,$E$30,$E$42))</f>
        <v/>
      </c>
      <c r="F75" s="4">
        <f>F73*IF($B$4=1,$F$18,IF($B$4=2,$F$30,$F$42))</f>
        <v/>
      </c>
      <c r="G75" s="4">
        <f>G73*IF($B$4=1,$G$18,IF($B$4=2,$G$30,$G$42))</f>
        <v/>
      </c>
    </row>
    <row r="77">
      <c r="A77" s="4" t="inlineStr">
        <is>
          <t>NOPAT ($M)</t>
        </is>
      </c>
      <c r="C77" s="4">
        <f>C73-C75</f>
        <v/>
      </c>
      <c r="D77" s="4">
        <f>D73-D75</f>
        <v/>
      </c>
      <c r="E77" s="4">
        <f>E73-E75</f>
        <v/>
      </c>
      <c r="F77" s="4">
        <f>F73-F75</f>
        <v/>
      </c>
      <c r="G77" s="4">
        <f>G73-G75</f>
        <v/>
      </c>
    </row>
    <row r="79">
      <c r="A79" s="4" t="inlineStr">
        <is>
          <t>D&amp;A % Rev</t>
        </is>
      </c>
      <c r="C79" s="11">
        <f>IF($B$4=1,$C$19,IF($B$4=2,$C$31,$C$43))</f>
        <v/>
      </c>
      <c r="D79" s="11">
        <f>IF($B$4=1,$D$19,IF($B$4=2,$D$31,$D$43))</f>
        <v/>
      </c>
      <c r="E79" s="11">
        <f>IF($B$4=1,$E$19,IF($B$4=2,$E$31,$E$43))</f>
        <v/>
      </c>
      <c r="F79" s="11">
        <f>IF($B$4=1,$F$19,IF($B$4=2,$F$31,$F$43))</f>
        <v/>
      </c>
      <c r="G79" s="11">
        <f>IF($B$4=1,$G$19,IF($B$4=2,$G$31,$G$43))</f>
        <v/>
      </c>
    </row>
    <row r="80">
      <c r="A80" s="4" t="inlineStr">
        <is>
          <t>D&amp;A ($M)</t>
        </is>
      </c>
      <c r="C80" s="4">
        <f>C63*C79</f>
        <v/>
      </c>
      <c r="D80" s="4">
        <f>D63*D79</f>
        <v/>
      </c>
      <c r="E80" s="4">
        <f>E63*E79</f>
        <v/>
      </c>
      <c r="F80" s="4">
        <f>F63*F79</f>
        <v/>
      </c>
      <c r="G80" s="4">
        <f>G63*G79</f>
        <v/>
      </c>
    </row>
    <row r="82">
      <c r="A82" s="4" t="inlineStr">
        <is>
          <t>CapEx % Rev</t>
        </is>
      </c>
      <c r="C82" s="11">
        <f>IF($B$4=1,$C$20,IF($B$4=2,$C$32,$C$44))</f>
        <v/>
      </c>
      <c r="D82" s="11">
        <f>IF($B$4=1,$D$20,IF($B$4=2,$D$32,$D$44))</f>
        <v/>
      </c>
      <c r="E82" s="11">
        <f>IF($B$4=1,$E$20,IF($B$4=2,$E$32,$E$44))</f>
        <v/>
      </c>
      <c r="F82" s="11">
        <f>IF($B$4=1,$F$20,IF($B$4=2,$F$32,$F$44))</f>
        <v/>
      </c>
      <c r="G82" s="11">
        <f>IF($B$4=1,$G$20,IF($B$4=2,$G$32,$G$44))</f>
        <v/>
      </c>
    </row>
    <row r="83">
      <c r="A83" s="4" t="inlineStr">
        <is>
          <t>CapEx ($M)</t>
        </is>
      </c>
      <c r="C83" s="4">
        <f>C63*C82</f>
        <v/>
      </c>
      <c r="D83" s="4">
        <f>D63*D82</f>
        <v/>
      </c>
      <c r="E83" s="4">
        <f>E63*E82</f>
        <v/>
      </c>
      <c r="F83" s="4">
        <f>F63*F82</f>
        <v/>
      </c>
      <c r="G83" s="4">
        <f>G63*G82</f>
        <v/>
      </c>
    </row>
    <row r="85">
      <c r="A85" s="4" t="inlineStr">
        <is>
          <t>NWC % ΔRev</t>
        </is>
      </c>
      <c r="C85" s="11">
        <f>IF($B$4=1,$C$21,IF($B$4=2,$C$33,$C$45))</f>
        <v/>
      </c>
      <c r="D85" s="11">
        <f>IF($B$4=1,$D$21,IF($B$4=2,$D$33,$D$45))</f>
        <v/>
      </c>
      <c r="E85" s="11">
        <f>IF($B$4=1,$E$21,IF($B$4=2,$E$33,$E$45))</f>
        <v/>
      </c>
      <c r="F85" s="11">
        <f>IF($B$4=1,$F$21,IF($B$4=2,$F$33,$F$45))</f>
        <v/>
      </c>
      <c r="G85" s="11">
        <f>IF($B$4=1,$G$21,IF($B$4=2,$G$33,$G$45))</f>
        <v/>
      </c>
    </row>
    <row r="86">
      <c r="A86" s="4" t="inlineStr">
        <is>
          <t>Δ NWC ($M)</t>
        </is>
      </c>
      <c r="C86" s="4">
        <f>(C63-B63)*C85</f>
        <v/>
      </c>
      <c r="D86" s="4">
        <f>(D63-C63)*D85</f>
        <v/>
      </c>
      <c r="E86" s="4">
        <f>(E63-D63)*E85</f>
        <v/>
      </c>
      <c r="F86" s="4">
        <f>(F63-E63)*F85</f>
        <v/>
      </c>
      <c r="G86" s="4">
        <f>(G63-F63)*G85</f>
        <v/>
      </c>
    </row>
    <row r="88">
      <c r="A88" s="8" t="inlineStr">
        <is>
          <t>FREE CASH FLOW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4" t="inlineStr">
        <is>
          <t>NOPAT</t>
        </is>
      </c>
      <c r="C89" s="4">
        <f>C77</f>
        <v/>
      </c>
      <c r="D89" s="4">
        <f>D77</f>
        <v/>
      </c>
      <c r="E89" s="4">
        <f>E77</f>
        <v/>
      </c>
      <c r="F89" s="4">
        <f>F77</f>
        <v/>
      </c>
      <c r="G89" s="4">
        <f>G77</f>
        <v/>
      </c>
    </row>
    <row r="90">
      <c r="A90" s="4" t="inlineStr">
        <is>
          <t>(+) D&amp;A</t>
        </is>
      </c>
      <c r="C90" s="4">
        <f>C80</f>
        <v/>
      </c>
      <c r="D90" s="4">
        <f>D80</f>
        <v/>
      </c>
      <c r="E90" s="4">
        <f>E80</f>
        <v/>
      </c>
      <c r="F90" s="4">
        <f>F80</f>
        <v/>
      </c>
      <c r="G90" s="4">
        <f>G80</f>
        <v/>
      </c>
    </row>
    <row r="91">
      <c r="A91" s="4" t="inlineStr">
        <is>
          <t>(-) CapEx</t>
        </is>
      </c>
      <c r="C91" s="4">
        <f>-C83</f>
        <v/>
      </c>
      <c r="D91" s="4">
        <f>-D83</f>
        <v/>
      </c>
      <c r="E91" s="4">
        <f>-E83</f>
        <v/>
      </c>
      <c r="F91" s="4">
        <f>-F83</f>
        <v/>
      </c>
      <c r="G91" s="4">
        <f>-G83</f>
        <v/>
      </c>
    </row>
    <row r="92">
      <c r="A92" s="4" t="inlineStr">
        <is>
          <t>(-) Δ NWC</t>
        </is>
      </c>
      <c r="C92" s="4">
        <f>-C86</f>
        <v/>
      </c>
      <c r="D92" s="4">
        <f>-D86</f>
        <v/>
      </c>
      <c r="E92" s="4">
        <f>-E86</f>
        <v/>
      </c>
      <c r="F92" s="4">
        <f>-F86</f>
        <v/>
      </c>
      <c r="G92" s="4">
        <f>-G86</f>
        <v/>
      </c>
    </row>
    <row r="93">
      <c r="A93" s="12" t="inlineStr">
        <is>
          <t>FCF ($M)</t>
        </is>
      </c>
      <c r="C93" s="12">
        <f>C89+C90+C91+C92</f>
        <v/>
      </c>
      <c r="D93" s="12">
        <f>D89+D90+D91+D92</f>
        <v/>
      </c>
      <c r="E93" s="12">
        <f>E89+E90+E91+E92</f>
        <v/>
      </c>
      <c r="F93" s="12">
        <f>F89+F90+F91+F92</f>
        <v/>
      </c>
      <c r="G93" s="12">
        <f>G89+G90+G91+G92</f>
        <v/>
      </c>
    </row>
    <row r="96">
      <c r="A96" s="8" t="inlineStr">
        <is>
          <t>DISCOUNTING &amp; VALUATION</t>
        </is>
      </c>
      <c r="B96" s="2" t="n"/>
      <c r="C96" s="2" t="n"/>
      <c r="D96" s="2" t="n"/>
      <c r="E96" s="2" t="n"/>
      <c r="F96" s="2" t="n"/>
      <c r="G96" s="2" t="n"/>
      <c r="H96" s="3" t="n"/>
    </row>
    <row r="97">
      <c r="A97" s="4" t="inlineStr">
        <is>
          <t>Period (Mid-Year)</t>
        </is>
      </c>
      <c r="C97" s="4" t="n">
        <v>0.5</v>
      </c>
      <c r="D97" s="4" t="n">
        <v>1.5</v>
      </c>
      <c r="E97" s="4" t="n">
        <v>2.5</v>
      </c>
      <c r="F97" s="4" t="n">
        <v>3.5</v>
      </c>
      <c r="G97" s="4" t="n">
        <v>4.5</v>
      </c>
    </row>
    <row r="98">
      <c r="A98" s="4" t="inlineStr">
        <is>
          <t>Discount Factor</t>
        </is>
      </c>
      <c r="C98" s="4">
        <f>1/(1+$B$58)^C97</f>
        <v/>
      </c>
      <c r="D98" s="4">
        <f>1/(1+$B$58)^D97</f>
        <v/>
      </c>
      <c r="E98" s="4">
        <f>1/(1+$B$58)^E97</f>
        <v/>
      </c>
      <c r="F98" s="4">
        <f>1/(1+$B$58)^F97</f>
        <v/>
      </c>
      <c r="G98" s="4">
        <f>1/(1+$B$58)^G97</f>
        <v/>
      </c>
    </row>
    <row r="99">
      <c r="A99" s="4" t="inlineStr">
        <is>
          <t>PV of FCF ($M)</t>
        </is>
      </c>
      <c r="C99" s="4">
        <f>C93*C98</f>
        <v/>
      </c>
      <c r="D99" s="4">
        <f>D93*D98</f>
        <v/>
      </c>
      <c r="E99" s="4">
        <f>E93*E98</f>
        <v/>
      </c>
      <c r="F99" s="4">
        <f>F93*F98</f>
        <v/>
      </c>
      <c r="G99" s="4">
        <f>G93*G98</f>
        <v/>
      </c>
    </row>
    <row r="100">
      <c r="A100" s="12" t="inlineStr">
        <is>
          <t>Sum of PV FCFs ($M)</t>
        </is>
      </c>
      <c r="B100" s="12">
        <f>SUM(C99:G99)</f>
        <v/>
      </c>
    </row>
    <row r="102">
      <c r="A102" s="8" t="inlineStr">
        <is>
          <t>TERMINAL VALUE</t>
        </is>
      </c>
      <c r="B102" s="2" t="n"/>
      <c r="C102" s="2" t="n"/>
      <c r="D102" s="2" t="n"/>
      <c r="E102" s="2" t="n"/>
      <c r="F102" s="2" t="n"/>
      <c r="G102" s="2" t="n"/>
      <c r="H102" s="3" t="n"/>
    </row>
    <row r="103">
      <c r="A103" s="4" t="inlineStr">
        <is>
          <t>Terminal Growth (%)</t>
        </is>
      </c>
      <c r="B103" s="4">
        <f>IF($B$4=1,$B$22,IF($B$4=2,$B$34,$B$46))</f>
        <v/>
      </c>
    </row>
    <row r="104">
      <c r="A104" s="4" t="inlineStr">
        <is>
          <t>Terminal FCF ($M)</t>
        </is>
      </c>
      <c r="B104" s="4">
        <f>G93*(1+B103)</f>
        <v/>
      </c>
    </row>
    <row r="105">
      <c r="A105" s="4" t="inlineStr">
        <is>
          <t>Terminal Value ($M)</t>
        </is>
      </c>
      <c r="B105" s="4">
        <f>B104/($B$58-B103)</f>
        <v/>
      </c>
    </row>
    <row r="106">
      <c r="A106" s="4" t="inlineStr">
        <is>
          <t>PV of Terminal Value ($M)</t>
        </is>
      </c>
      <c r="B106" s="4">
        <f>B105/(1+$B$58)^4.5</f>
        <v/>
      </c>
    </row>
    <row r="108">
      <c r="A108" s="8" t="inlineStr">
        <is>
          <t>VALUATION SUMMARY</t>
        </is>
      </c>
      <c r="B108" s="2" t="n"/>
      <c r="C108" s="2" t="n"/>
      <c r="D108" s="2" t="n"/>
      <c r="E108" s="2" t="n"/>
      <c r="F108" s="2" t="n"/>
      <c r="G108" s="2" t="n"/>
      <c r="H108" s="3" t="n"/>
    </row>
    <row r="109">
      <c r="A109" s="4" t="inlineStr">
        <is>
          <t>Sum of PV FCFs</t>
        </is>
      </c>
      <c r="B109" s="4">
        <f>B100</f>
        <v/>
      </c>
    </row>
    <row r="110">
      <c r="A110" s="4" t="inlineStr">
        <is>
          <t>PV of Terminal Value</t>
        </is>
      </c>
      <c r="B110" s="4">
        <f>B106</f>
        <v/>
      </c>
    </row>
    <row r="111">
      <c r="A111" s="12" t="inlineStr">
        <is>
          <t>Enterprise Value ($M)</t>
        </is>
      </c>
      <c r="B111" s="12">
        <f>B109+B110</f>
        <v/>
      </c>
    </row>
    <row r="112">
      <c r="A112" s="4" t="inlineStr">
        <is>
          <t>Net Debt ($M)</t>
        </is>
      </c>
      <c r="B112" s="4">
        <f>B10</f>
        <v/>
      </c>
    </row>
    <row r="113">
      <c r="A113" s="12" t="inlineStr">
        <is>
          <t>Equity Value ($M)</t>
        </is>
      </c>
      <c r="B113" s="12">
        <f>B111+B112</f>
        <v/>
      </c>
    </row>
    <row r="115">
      <c r="A115" s="4" t="inlineStr">
        <is>
          <t>Shares Outstanding (M)</t>
        </is>
      </c>
      <c r="B115" s="4">
        <f>B8</f>
        <v/>
      </c>
    </row>
    <row r="116">
      <c r="A116" s="12" t="inlineStr">
        <is>
          <t>Implied Price per Share ($)</t>
        </is>
      </c>
      <c r="B116" s="13">
        <f>B113/B115</f>
        <v/>
      </c>
    </row>
    <row r="117">
      <c r="A117" s="4" t="inlineStr">
        <is>
          <t>Current Stock Price ($)</t>
        </is>
      </c>
      <c r="B117" s="7">
        <f>B7</f>
        <v/>
      </c>
    </row>
    <row r="118">
      <c r="A118" s="12" t="inlineStr">
        <is>
          <t>Implied Upside/(Downside)</t>
        </is>
      </c>
      <c r="B118" s="14">
        <f>B116/B117-1</f>
        <v/>
      </c>
    </row>
  </sheetData>
  <mergeCells count="13">
    <mergeCell ref="A69:H69"/>
    <mergeCell ref="A25:H25"/>
    <mergeCell ref="A65:H65"/>
    <mergeCell ref="A96:H96"/>
    <mergeCell ref="A13:H13"/>
    <mergeCell ref="A49:H49"/>
    <mergeCell ref="A108:H108"/>
    <mergeCell ref="A102:H102"/>
    <mergeCell ref="A1:H1"/>
    <mergeCell ref="A37:H37"/>
    <mergeCell ref="A61:H61"/>
    <mergeCell ref="A6:H6"/>
    <mergeCell ref="A88:H8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WACC CALCULATION</t>
        </is>
      </c>
    </row>
    <row r="3">
      <c r="A3" s="15" t="inlineStr">
        <is>
          <t>COST OF EQUITY</t>
        </is>
      </c>
    </row>
    <row r="4">
      <c r="A4" s="4" t="inlineStr">
        <is>
          <t>Risk-Free (%)</t>
        </is>
      </c>
      <c r="B4" s="7" t="n">
        <v>0.043</v>
      </c>
    </row>
    <row r="5">
      <c r="A5" s="4" t="inlineStr">
        <is>
          <t>ERP (%)</t>
        </is>
      </c>
      <c r="B5" s="7" t="n">
        <v>0.055</v>
      </c>
    </row>
    <row r="6">
      <c r="A6" s="4" t="inlineStr">
        <is>
          <t>Beta</t>
        </is>
      </c>
      <c r="B6" s="7" t="n">
        <v>1.7</v>
      </c>
    </row>
    <row r="7">
      <c r="A7" s="4" t="inlineStr">
        <is>
          <t>Cost of Equity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CoD (%)</t>
        </is>
      </c>
      <c r="B10" s="7" t="n">
        <v>0.08</v>
      </c>
    </row>
    <row r="11">
      <c r="A11" s="4" t="inlineStr">
        <is>
          <t>Tax Rate (%)</t>
        </is>
      </c>
      <c r="B11" s="7" t="n">
        <v>0.15</v>
      </c>
    </row>
    <row r="12">
      <c r="A12" s="4" t="inlineStr">
        <is>
          <t>After-Tax CoD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</t>
        </is>
      </c>
      <c r="B15" s="16">
        <f>DCF!B9</f>
        <v/>
      </c>
    </row>
    <row r="16">
      <c r="A16" s="4" t="inlineStr">
        <is>
          <t>Net Debt</t>
        </is>
      </c>
      <c r="B16" s="16">
        <f>DCF!B10</f>
        <v/>
      </c>
    </row>
    <row r="17">
      <c r="A17" s="4" t="inlineStr">
        <is>
          <t>EV</t>
        </is>
      </c>
      <c r="B17" s="16">
        <f>B15+B16</f>
        <v/>
      </c>
    </row>
    <row r="18">
      <c r="A18" s="4" t="inlineStr">
        <is>
          <t>Equity %</t>
        </is>
      </c>
      <c r="B18" s="17">
        <f>B15/B17</f>
        <v/>
      </c>
    </row>
    <row r="19">
      <c r="A19" s="4" t="inlineStr">
        <is>
          <t>Debt %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2026-05-10T05:23:38Z</dcterms:created>
  <dcterms:modified xsi:type="dcterms:W3CDTF">2026-05-10T05:23:38Z</dcterms:modified>
</cp:coreProperties>
</file>